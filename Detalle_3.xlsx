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se.Zerpa\Desktop\Proyecto Tránsito\"/>
    </mc:Choice>
  </mc:AlternateContent>
  <xr:revisionPtr revIDLastSave="0" documentId="13_ncr:1_{E62A91E1-5C9A-4EDB-ADFF-72B43CA62826}" xr6:coauthVersionLast="36" xr6:coauthVersionMax="36" xr10:uidLastSave="{00000000-0000-0000-0000-000000000000}"/>
  <bookViews>
    <workbookView xWindow="0" yWindow="0" windowWidth="20490" windowHeight="7410" xr2:uid="{44451960-3019-4223-A4B4-B2CFEF6A8024}"/>
  </bookViews>
  <sheets>
    <sheet name="Hoja1" sheetId="1" r:id="rId1"/>
  </sheets>
  <definedNames>
    <definedName name="_xlnm._FilterDatabase" localSheetId="0" hidden="1">Hoja1!$A$1:$N$283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81" i="1" l="1"/>
  <c r="H171" i="1"/>
  <c r="H168" i="1"/>
  <c r="H166" i="1"/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</calcChain>
</file>

<file path=xl/sharedStrings.xml><?xml version="1.0" encoding="utf-8"?>
<sst xmlns="http://schemas.openxmlformats.org/spreadsheetml/2006/main" count="2177" uniqueCount="562">
  <si>
    <t>Proveedor</t>
  </si>
  <si>
    <t xml:space="preserve">OC sistema </t>
  </si>
  <si>
    <t xml:space="preserve">OC Manual </t>
  </si>
  <si>
    <t>Fecha de orden de compra</t>
  </si>
  <si>
    <t>Código Neumáticos</t>
  </si>
  <si>
    <t>Medida</t>
  </si>
  <si>
    <t xml:space="preserve">Descripción </t>
  </si>
  <si>
    <t>Cantidad</t>
  </si>
  <si>
    <t>ETD</t>
  </si>
  <si>
    <t>Fecha DAI</t>
  </si>
  <si>
    <t>Grupo de Artículo</t>
  </si>
  <si>
    <t>SBU</t>
  </si>
  <si>
    <t>Concatenar</t>
  </si>
  <si>
    <t>XUZHOU ARMOUR RUBBER COMPANY LTD</t>
  </si>
  <si>
    <t>PT Cauchos</t>
  </si>
  <si>
    <t>ANV9202</t>
  </si>
  <si>
    <t>11L-16</t>
  </si>
  <si>
    <t>11L-16 8PR I-1 TT ARMOUR</t>
  </si>
  <si>
    <t>IDS</t>
  </si>
  <si>
    <t>ANV9227</t>
  </si>
  <si>
    <t>7.00-12</t>
  </si>
  <si>
    <t>7.00-12  SP900  ARMOUR</t>
  </si>
  <si>
    <t>MTC</t>
  </si>
  <si>
    <t>ORS</t>
  </si>
  <si>
    <t>23.5-25</t>
  </si>
  <si>
    <t>ANV9212</t>
  </si>
  <si>
    <t>12-16.5</t>
  </si>
  <si>
    <t>12-16.5 14PR RG600 TL ARMOUR</t>
  </si>
  <si>
    <t>ANV9236</t>
  </si>
  <si>
    <t>12-16.5-14</t>
  </si>
  <si>
    <t>12-16.5-14PR TL L4B ARMOUR</t>
  </si>
  <si>
    <t>ANV9203</t>
  </si>
  <si>
    <t>19.5L-24</t>
  </si>
  <si>
    <t>19.5L-24 14PR R-4A TL ARMOUR</t>
  </si>
  <si>
    <t>ANV9209</t>
  </si>
  <si>
    <t>16.9-28</t>
  </si>
  <si>
    <t>16.9-28 12PR R-4A TL ARMOUR</t>
  </si>
  <si>
    <t>TDS</t>
  </si>
  <si>
    <t>TTS</t>
  </si>
  <si>
    <t>14.9-24</t>
  </si>
  <si>
    <t>23.1-30</t>
  </si>
  <si>
    <t>12.4-24</t>
  </si>
  <si>
    <t>9.5-24</t>
  </si>
  <si>
    <t>14.9-28</t>
  </si>
  <si>
    <t>18.4-30</t>
  </si>
  <si>
    <t>KETER TYRE HONGKONG CO, LIMITED</t>
  </si>
  <si>
    <t>P04235</t>
  </si>
  <si>
    <t>AN00514-1</t>
  </si>
  <si>
    <t>ANV9301</t>
  </si>
  <si>
    <t>185/60R15</t>
  </si>
  <si>
    <t>185/60R15 Journey-X 88H XL</t>
  </si>
  <si>
    <t>PSR</t>
  </si>
  <si>
    <t>ANV9345</t>
  </si>
  <si>
    <t>185/65R15</t>
  </si>
  <si>
    <t>185/65R15 92H Journey-X GREENTRAC</t>
  </si>
  <si>
    <t>ANV9346</t>
  </si>
  <si>
    <t>195/50R15</t>
  </si>
  <si>
    <t>195/50R15 82V Journey-X GREENTRAC</t>
  </si>
  <si>
    <t>ANV9326</t>
  </si>
  <si>
    <t>195/55R15</t>
  </si>
  <si>
    <t>195/55R15  85V Journey-X</t>
  </si>
  <si>
    <t>ANV9347</t>
  </si>
  <si>
    <t xml:space="preserve">195/65R15 </t>
  </si>
  <si>
    <t>195/65R15 91V Journey-X GREENTRAC</t>
  </si>
  <si>
    <t>ANV9348</t>
  </si>
  <si>
    <t xml:space="preserve">205/65R15 </t>
  </si>
  <si>
    <t>205/65R15 94H Journey-X GREENTRAC</t>
  </si>
  <si>
    <t>ANV9302</t>
  </si>
  <si>
    <t>205/70R15</t>
  </si>
  <si>
    <t>205/70R15 Journey-X 96H</t>
  </si>
  <si>
    <t>ANV9304</t>
  </si>
  <si>
    <t>205/60R16</t>
  </si>
  <si>
    <t>205/60R16 Journey-X 92V</t>
  </si>
  <si>
    <t>ANV9323</t>
  </si>
  <si>
    <t>215/65R16</t>
  </si>
  <si>
    <t>215/65R16 Journey-X HP 98H</t>
  </si>
  <si>
    <t>ANV9351</t>
  </si>
  <si>
    <t>215/45ZR17</t>
  </si>
  <si>
    <t>215/45ZR17 91W Journey-X GREENTRAC</t>
  </si>
  <si>
    <t>ANV9352</t>
  </si>
  <si>
    <t>225/45ZR17</t>
  </si>
  <si>
    <t>225/45ZR17 94W Journey-X GREENTRAC</t>
  </si>
  <si>
    <t>ANV9307</t>
  </si>
  <si>
    <t>205/50ZR17</t>
  </si>
  <si>
    <t>205/50ZR17 Quest-X 93Y XL</t>
  </si>
  <si>
    <t>ANV9308</t>
  </si>
  <si>
    <t>215/55ZR17</t>
  </si>
  <si>
    <t>215/55ZR17 Quest-X 98W XL</t>
  </si>
  <si>
    <t>ANV9309</t>
  </si>
  <si>
    <t>225/50ZR17</t>
  </si>
  <si>
    <t>225/50ZR17 Quest-X 98Y XL</t>
  </si>
  <si>
    <t>ANV9310</t>
  </si>
  <si>
    <t>225/55ZR17</t>
  </si>
  <si>
    <t>225/55ZR17 Quest-X 97W</t>
  </si>
  <si>
    <t>ANV9357</t>
  </si>
  <si>
    <t>235/55ZR19</t>
  </si>
  <si>
    <t>235/55ZR19 105W Quest-X GREENTRAC</t>
  </si>
  <si>
    <t>ANV9360</t>
  </si>
  <si>
    <t>255/50ZR20</t>
  </si>
  <si>
    <t>255/50ZR20    109/XL/Y  GREENTRAC</t>
  </si>
  <si>
    <t>LTR</t>
  </si>
  <si>
    <t>ANV9361</t>
  </si>
  <si>
    <t>275/50ZR20</t>
  </si>
  <si>
    <t>275/50ZR20113/XL/Y  GREENTRAC</t>
  </si>
  <si>
    <t>ANV9365</t>
  </si>
  <si>
    <t>265/70R16</t>
  </si>
  <si>
    <t>265/70R16112/T  GREENTRAC</t>
  </si>
  <si>
    <t>ANV9324</t>
  </si>
  <si>
    <t>215/60R17</t>
  </si>
  <si>
    <t>215/60R17 Quest-X SUV H/T 96 H</t>
  </si>
  <si>
    <t>ANV9362</t>
  </si>
  <si>
    <t>265/65R17</t>
  </si>
  <si>
    <t>265/65R17116/H  GREENTRAC</t>
  </si>
  <si>
    <t>ANV9364</t>
  </si>
  <si>
    <t>265/60R18</t>
  </si>
  <si>
    <t>265/60R18110/H  GREENTRAC</t>
  </si>
  <si>
    <t>ANV9363</t>
  </si>
  <si>
    <t>265/70R17</t>
  </si>
  <si>
    <t>265/70R17115/T  GREENTRAC</t>
  </si>
  <si>
    <t>ANV9313</t>
  </si>
  <si>
    <t xml:space="preserve">195R15C-8PR </t>
  </si>
  <si>
    <t>195R15C-8PR SUPERANGE-Van 106/104S</t>
  </si>
  <si>
    <t>SUNITRAC</t>
  </si>
  <si>
    <t>P04785</t>
  </si>
  <si>
    <t>AN00236-3</t>
  </si>
  <si>
    <t>ANV9031</t>
  </si>
  <si>
    <t>255/70R22.5</t>
  </si>
  <si>
    <t>255/70R22.5 16PR TL SR198 STEPRISING</t>
  </si>
  <si>
    <t>TBR</t>
  </si>
  <si>
    <t>ANV9026</t>
  </si>
  <si>
    <t xml:space="preserve">295/80R22.5 </t>
  </si>
  <si>
    <t>295/80R22.5 18PR SR168 TL STEPPRISING</t>
  </si>
  <si>
    <t>ANV9013</t>
  </si>
  <si>
    <t>295/80R22.5</t>
  </si>
  <si>
    <t>295/80R22.5 18PR SR198 STEPRISING</t>
  </si>
  <si>
    <t>AN00236-4</t>
  </si>
  <si>
    <t>P04809</t>
  </si>
  <si>
    <t>AN00237</t>
  </si>
  <si>
    <t>ANV8020</t>
  </si>
  <si>
    <t>750-16</t>
  </si>
  <si>
    <t>Inner Tube  750-16  TR177A</t>
  </si>
  <si>
    <t>PT Tripas</t>
  </si>
  <si>
    <t>ANV8021</t>
  </si>
  <si>
    <t>1100-16</t>
  </si>
  <si>
    <t>Inner Tube1100-16TR15</t>
  </si>
  <si>
    <t>ANV8022</t>
  </si>
  <si>
    <t>1200-20</t>
  </si>
  <si>
    <t>Inner Tube1200-20TR78A</t>
  </si>
  <si>
    <t>ANV8023</t>
  </si>
  <si>
    <t>1200-24</t>
  </si>
  <si>
    <t>Inner Tube1200-24TR78A</t>
  </si>
  <si>
    <t>ANV8024</t>
  </si>
  <si>
    <t>1400-24</t>
  </si>
  <si>
    <t>Inner Tube1400-24TR179A</t>
  </si>
  <si>
    <t>ANV8025</t>
  </si>
  <si>
    <t>17.5R25</t>
  </si>
  <si>
    <t>Inner Tube17.5R25TR179A</t>
  </si>
  <si>
    <t>ANV8026</t>
  </si>
  <si>
    <t>20.5-25</t>
  </si>
  <si>
    <t>Inner Tube20.5-25TR179A</t>
  </si>
  <si>
    <t>ANV8027</t>
  </si>
  <si>
    <t>Inner Tube23.5-25TR179A</t>
  </si>
  <si>
    <t>ANV8028</t>
  </si>
  <si>
    <t>26.5-25</t>
  </si>
  <si>
    <t>Inner Tube26.5-25TR179A</t>
  </si>
  <si>
    <t>ANV8029</t>
  </si>
  <si>
    <t>Inner Tube14.9-24TR218A</t>
  </si>
  <si>
    <t>ANV8030</t>
  </si>
  <si>
    <t>Inner Tube14.9-28TR218A</t>
  </si>
  <si>
    <t>ANV8031</t>
  </si>
  <si>
    <t>Inner Tube18.4-30TR218A</t>
  </si>
  <si>
    <t>ANV8032</t>
  </si>
  <si>
    <t>18.4-34</t>
  </si>
  <si>
    <t>Inner Tube18.4-34TR218A</t>
  </si>
  <si>
    <t>ANV8033</t>
  </si>
  <si>
    <t>23.1-26</t>
  </si>
  <si>
    <t>Inner Tube23.1-26TR218A</t>
  </si>
  <si>
    <t>ANV8034</t>
  </si>
  <si>
    <t>Inner Tube23.1-30TR218A</t>
  </si>
  <si>
    <t>ANV8035</t>
  </si>
  <si>
    <t>23.1-34</t>
  </si>
  <si>
    <t>Inner Tube23.1-34TR218A</t>
  </si>
  <si>
    <t>ANV8100</t>
  </si>
  <si>
    <t>Flap750-16</t>
  </si>
  <si>
    <t>PT Protector</t>
  </si>
  <si>
    <t>ANV8101</t>
  </si>
  <si>
    <t>Flap1200-20</t>
  </si>
  <si>
    <t>ANV8102</t>
  </si>
  <si>
    <t>Flap1200-24</t>
  </si>
  <si>
    <t>ANV8103</t>
  </si>
  <si>
    <t>Flap1400-24</t>
  </si>
  <si>
    <t>ANV8104</t>
  </si>
  <si>
    <t>Flap17.5R25</t>
  </si>
  <si>
    <t>ANV8105</t>
  </si>
  <si>
    <t>Flap20.5-25</t>
  </si>
  <si>
    <t>ANV8106</t>
  </si>
  <si>
    <t>Flap23.5-25</t>
  </si>
  <si>
    <t>ANV8107</t>
  </si>
  <si>
    <t>Flap26.5-25</t>
  </si>
  <si>
    <t xml:space="preserve">B.A.T.O. SHARED SERVICES.S.A. (COSTA RICA), </t>
  </si>
  <si>
    <t>CANCELADA</t>
  </si>
  <si>
    <t>ANV9533</t>
  </si>
  <si>
    <t>LT275/70R17</t>
  </si>
  <si>
    <t xml:space="preserve">LT275/70R17 121R DESTINATION X/T </t>
  </si>
  <si>
    <t>ANV9534</t>
  </si>
  <si>
    <t>LT265/70R18</t>
  </si>
  <si>
    <t>LT265/70R18 124S DESTINATION XT</t>
  </si>
  <si>
    <t>ANV9535</t>
  </si>
  <si>
    <t>LT275/70R18</t>
  </si>
  <si>
    <t xml:space="preserve">LT275/70R18 125S DESTINATION XT </t>
  </si>
  <si>
    <t>ANV9536</t>
  </si>
  <si>
    <t>LT285/65R18</t>
  </si>
  <si>
    <t>LT285/65R18 125R DESTINATION X/T</t>
  </si>
  <si>
    <t>ANV9542</t>
  </si>
  <si>
    <t>LT35X12.50R18</t>
  </si>
  <si>
    <t xml:space="preserve">LT35X12.50R18 123R DESTINATION XT </t>
  </si>
  <si>
    <t>ANV9537</t>
  </si>
  <si>
    <t>LT265/60R20</t>
  </si>
  <si>
    <t>LT265/60R20 121S DESTINATION X/T</t>
  </si>
  <si>
    <t>ANV9538</t>
  </si>
  <si>
    <t>LT275/55R20</t>
  </si>
  <si>
    <t>LT275/55R20 120R DESTINATION X/T</t>
  </si>
  <si>
    <t>ANV9539</t>
  </si>
  <si>
    <t>LT275/60R20</t>
  </si>
  <si>
    <t>LT275/60R20 123R DESTINATION X/T</t>
  </si>
  <si>
    <t>P04787</t>
  </si>
  <si>
    <t>AN00238-2.0</t>
  </si>
  <si>
    <t>ANV9014</t>
  </si>
  <si>
    <t>315/80R22.5</t>
  </si>
  <si>
    <t>315/80R22.5 20PR SR168 STEPRISING</t>
  </si>
  <si>
    <t>ANV9017</t>
  </si>
  <si>
    <t>315/80R22.5 20PR 156/150M SR198 STEPRISING</t>
  </si>
  <si>
    <t>ANV9012</t>
  </si>
  <si>
    <t>12R22.5</t>
  </si>
  <si>
    <t>12R22.5 18PR 152/149M SR198 STEPRISING</t>
  </si>
  <si>
    <t>ANV9027</t>
  </si>
  <si>
    <t>275/70R22.5</t>
  </si>
  <si>
    <t>275/70R22.5 18PR SR198 TL STEPPRISING</t>
  </si>
  <si>
    <t>ANV9016</t>
  </si>
  <si>
    <t>9.5R17.5</t>
  </si>
  <si>
    <t>9.5R17.518PR SR516TL STEPRISING</t>
  </si>
  <si>
    <t>ANV9022</t>
  </si>
  <si>
    <t xml:space="preserve"> 9.5R17.5  18PR SR518 STEPRISING</t>
  </si>
  <si>
    <t>ANV9033</t>
  </si>
  <si>
    <t>9.5R17.5--18PR  SR828 STEPRISING</t>
  </si>
  <si>
    <t>ANV9007</t>
  </si>
  <si>
    <t>215/75R17. 5</t>
  </si>
  <si>
    <t xml:space="preserve">215/75R17. 516PR SR516 TL STEPRISING </t>
  </si>
  <si>
    <t>P04788</t>
  </si>
  <si>
    <t>AN00238-2.1</t>
  </si>
  <si>
    <t>ANV9011</t>
  </si>
  <si>
    <t>12R22.5 18PR SR168 STEPRISING</t>
  </si>
  <si>
    <t>ANV9043</t>
  </si>
  <si>
    <t>12.00R24</t>
  </si>
  <si>
    <t xml:space="preserve"> 12.00R24 20PR SR298</t>
  </si>
  <si>
    <t>ZHONGCE RUBBER GROUP CO., LTD.</t>
  </si>
  <si>
    <t>AN00801</t>
  </si>
  <si>
    <t>ANV9401</t>
  </si>
  <si>
    <t>23.5R25</t>
  </si>
  <si>
    <t>23.5R25  CB763  E-4/L-4  185B/201A2  ★★ CHAOYANG</t>
  </si>
  <si>
    <t>ORR</t>
  </si>
  <si>
    <t>ANV9402</t>
  </si>
  <si>
    <t>24.00R35</t>
  </si>
  <si>
    <t>24.00R35 CB771 E-4 212B ★★★ CHAOYANG</t>
  </si>
  <si>
    <t>ANV9403</t>
  </si>
  <si>
    <t>26.5R25</t>
  </si>
  <si>
    <t>26.5R25 CB763 E-4/L-4 193B/209A2 ★★ CHAOYANG</t>
  </si>
  <si>
    <t>ANV9404</t>
  </si>
  <si>
    <t>27.00R49</t>
  </si>
  <si>
    <t>27.00R49 CB788 E-4 223B ★★ CHAOYANG</t>
  </si>
  <si>
    <t>ANV9405</t>
  </si>
  <si>
    <t>29.5R25</t>
  </si>
  <si>
    <t>29.5R25 CB763/WR04 E-4/L-4 200B/216A2 ★★ CHAOYANG</t>
  </si>
  <si>
    <t>ANV9406</t>
  </si>
  <si>
    <t>35/65R33</t>
  </si>
  <si>
    <t>35/65R33 CB790 L-5 229A2 ★★★ CHAOYANG</t>
  </si>
  <si>
    <t>ANV9407</t>
  </si>
  <si>
    <t>16×5×10 1/2[TR]</t>
  </si>
  <si>
    <t>16×5×10 1/2[TR] TR PressOn  CHAOYANG</t>
  </si>
  <si>
    <t>ANV9408</t>
  </si>
  <si>
    <t>21×7×15[TR]</t>
  </si>
  <si>
    <t>21×7×15[TR] TR PressOn  CHAOYANG</t>
  </si>
  <si>
    <t>ANV9409</t>
  </si>
  <si>
    <t>5.00-8/3.0R CL403S</t>
  </si>
  <si>
    <t>5.00-8/3.0R CL403S CL403S Resilent  CHAOYANG</t>
  </si>
  <si>
    <t>ANV9410</t>
  </si>
  <si>
    <t>6.00-9/4.0R CL403S</t>
  </si>
  <si>
    <t>6.00-9/4.0R CL403S CL403S Resilent  CHAOYANG</t>
  </si>
  <si>
    <t>ANV9411</t>
  </si>
  <si>
    <t>7.00-12/5.0R CL403S</t>
  </si>
  <si>
    <t>7.00-12/5.0R CL403S CL403S Resilent  CHAOYANG</t>
  </si>
  <si>
    <t>ANV9412</t>
  </si>
  <si>
    <t>28×9-15/6.5R CL403S</t>
  </si>
  <si>
    <t>28×9-15/6.5R CL403S CL403S Resilent  CHAOYANG</t>
  </si>
  <si>
    <t>ANV9413</t>
  </si>
  <si>
    <t>7.00-15/5.5R CL403S</t>
  </si>
  <si>
    <t>7.00-15/5.5R CL403S CL403S Resilent  CHAOYANG</t>
  </si>
  <si>
    <t>ANV9414</t>
  </si>
  <si>
    <t>8.25-15/5.5R CL403S</t>
  </si>
  <si>
    <t>8.25-15/5.5R CL403S CL403S Resilent  CHAOYANG</t>
  </si>
  <si>
    <t>ANV9415</t>
  </si>
  <si>
    <t>16×6×10 1/2[TR]</t>
  </si>
  <si>
    <t>16×6×10 1/2[TR] TR PressOn  CHAOYANG</t>
  </si>
  <si>
    <t>P04766</t>
  </si>
  <si>
    <t>AN00901</t>
  </si>
  <si>
    <t>ANV1901</t>
  </si>
  <si>
    <t>LT265/75R16</t>
  </si>
  <si>
    <t>LT265/75R16 123/120R  ALIX  IMPACT A/T PLUS</t>
  </si>
  <si>
    <t>P04732</t>
  </si>
  <si>
    <t>AN00239</t>
  </si>
  <si>
    <t>ANV9053</t>
  </si>
  <si>
    <t>7.50R16LT</t>
  </si>
  <si>
    <t>7.50R16LT 16PR SR168</t>
  </si>
  <si>
    <t>ANV9037</t>
  </si>
  <si>
    <t>215/75R17.5</t>
  </si>
  <si>
    <t>215/75R17.5 16PR  SR518 STEPRISING</t>
  </si>
  <si>
    <t>ANV9008</t>
  </si>
  <si>
    <t>235/75R17.5</t>
  </si>
  <si>
    <t xml:space="preserve">235/75R17.516PR SR516 TL STEPRISING </t>
  </si>
  <si>
    <t>ANV9044</t>
  </si>
  <si>
    <t>265/70R19.5</t>
  </si>
  <si>
    <t>265/70R19.5 18PR SR516</t>
  </si>
  <si>
    <t>ANV9006</t>
  </si>
  <si>
    <t>8.25R20</t>
  </si>
  <si>
    <t xml:space="preserve">8.25R20 16PR SR168 TT SET STEPRISING </t>
  </si>
  <si>
    <t>ANV9019</t>
  </si>
  <si>
    <t>9.00R20</t>
  </si>
  <si>
    <t>9.00R20 16PR SR168 TT SET STEPRISING</t>
  </si>
  <si>
    <t>ANV9020</t>
  </si>
  <si>
    <t>11.00R20</t>
  </si>
  <si>
    <t>11.00R20 18PR SR168 TT SET STEPRISING</t>
  </si>
  <si>
    <t>ANV9021</t>
  </si>
  <si>
    <t>12.00R20</t>
  </si>
  <si>
    <t>12.00R20 20PR SR168 TT SET STEPRISING</t>
  </si>
  <si>
    <t>ANV9028</t>
  </si>
  <si>
    <t>295/80R22.5 18PR TL SR219 STEPRISING</t>
  </si>
  <si>
    <t>ANV9029</t>
  </si>
  <si>
    <t>315/80R22.5 20PR TL SR399 STEPRISING</t>
  </si>
  <si>
    <t>ANV9045</t>
  </si>
  <si>
    <t>315/80R22.5 20PR SR868</t>
  </si>
  <si>
    <t>ANV9030</t>
  </si>
  <si>
    <t>315/80R22.5 20PR TL XTR189 STEPRISING</t>
  </si>
  <si>
    <t>ANV9036</t>
  </si>
  <si>
    <t>315/80R22.5 20PR SR688 STEPRISING</t>
  </si>
  <si>
    <t>ANV9023</t>
  </si>
  <si>
    <t xml:space="preserve"> 12.00R24  20PR SR168 STEPRISING</t>
  </si>
  <si>
    <t>P04734</t>
  </si>
  <si>
    <t>AN00315-1</t>
  </si>
  <si>
    <t>ANV9249</t>
  </si>
  <si>
    <t>10.00-16</t>
  </si>
  <si>
    <t>10.00-16 10PR F2(4RIB) TT ARMOUR</t>
  </si>
  <si>
    <t>ANV9250</t>
  </si>
  <si>
    <t>11.00-16</t>
  </si>
  <si>
    <t>11.00-16 12PR F2(4RIB) TT ARMOUR</t>
  </si>
  <si>
    <t>ANV9252</t>
  </si>
  <si>
    <t>9.5-24 8PR R1 TT ARMOUR</t>
  </si>
  <si>
    <t>ANV9253</t>
  </si>
  <si>
    <t>12.4-24 12PR R1 TT ARMOUR</t>
  </si>
  <si>
    <t>ANV9254</t>
  </si>
  <si>
    <t>12.4-24 8PR R2 TT ARMOUR</t>
  </si>
  <si>
    <t>ANV9255</t>
  </si>
  <si>
    <t>14.9-24 12PR R1 TT ARMOUR</t>
  </si>
  <si>
    <t>ANV9256</t>
  </si>
  <si>
    <t>14.9-24 12PR R2 TT ARMOUR</t>
  </si>
  <si>
    <t>ANV9257</t>
  </si>
  <si>
    <t>18.4-26</t>
  </si>
  <si>
    <t>18.4-26 12PR R1 TT ARMOUR</t>
  </si>
  <si>
    <t>ANV9258</t>
  </si>
  <si>
    <t>23.1-26 18PR R2 TT ARMOUR</t>
  </si>
  <si>
    <t>ANV9260</t>
  </si>
  <si>
    <t>23.1-30 14PR R2 TT ARMOUR</t>
  </si>
  <si>
    <t>ANV9261</t>
  </si>
  <si>
    <t>18.4-34 10PR R2 TT ARMOUR</t>
  </si>
  <si>
    <t>ANV9262</t>
  </si>
  <si>
    <t>18.4-38-12</t>
  </si>
  <si>
    <t>18.4-38 12PR R2 TT ARMOUR</t>
  </si>
  <si>
    <t>ANV9263</t>
  </si>
  <si>
    <t>20.8-38-12</t>
  </si>
  <si>
    <t>20.8-38 12PR R2 TT ARMOUR</t>
  </si>
  <si>
    <t>ANV9264</t>
  </si>
  <si>
    <t>11L-16TL 12PR F-3 ARMOUR</t>
  </si>
  <si>
    <t>ANV9265</t>
  </si>
  <si>
    <t>14.5/75-16.1</t>
  </si>
  <si>
    <t>14.5/75-16.1TL 10PR F-3 ARMOUR</t>
  </si>
  <si>
    <t>ANV9266</t>
  </si>
  <si>
    <t>16.5/70-18</t>
  </si>
  <si>
    <t>16.5/70-18 18PR IMP100  TT ARMOUR</t>
  </si>
  <si>
    <t>ANV9242</t>
  </si>
  <si>
    <t>12.5/80-18-12</t>
  </si>
  <si>
    <t>12.5/80-18-12PR TL IMP600 ARMOUR</t>
  </si>
  <si>
    <t>ANV9233</t>
  </si>
  <si>
    <t>6.50-10-12</t>
  </si>
  <si>
    <t>6.50-10-12PR TT PLT328 ARMOUR</t>
  </si>
  <si>
    <t>ANV9234</t>
  </si>
  <si>
    <t>7.00-12-14</t>
  </si>
  <si>
    <t>7.00-12-14PR TT PLT328 ARMOUR</t>
  </si>
  <si>
    <t>ANV9235</t>
  </si>
  <si>
    <t>8.25-15-16</t>
  </si>
  <si>
    <t>8.25-15-16PR TT PLT328 ARMOUR</t>
  </si>
  <si>
    <t>ANV9226</t>
  </si>
  <si>
    <t>28*9-15</t>
  </si>
  <si>
    <t>28*9-15  SP900  ARMOUR</t>
  </si>
  <si>
    <t>AN00315-2</t>
  </si>
  <si>
    <t>ANV9251</t>
  </si>
  <si>
    <t>405/70-20</t>
  </si>
  <si>
    <t>405/70-20 14PR R1 TL ARMOUR</t>
  </si>
  <si>
    <t>estara lista el 07/ de feb</t>
  </si>
  <si>
    <t>ANV9259</t>
  </si>
  <si>
    <t>14.9-28 10PR R2 TT ARMOUR</t>
  </si>
  <si>
    <t>ANV9201</t>
  </si>
  <si>
    <t>11L-15</t>
  </si>
  <si>
    <t>11L-15 8PR I-1 TT ARMOUR</t>
  </si>
  <si>
    <t>ANV9230</t>
  </si>
  <si>
    <t>300-15-20</t>
  </si>
  <si>
    <t>300-15-20PR TT PLT328 ARMOUR</t>
  </si>
  <si>
    <t>ANV9245</t>
  </si>
  <si>
    <t>16.00-25 40PR</t>
  </si>
  <si>
    <t>16.00-25 40PR L5S TL ARMOUR</t>
  </si>
  <si>
    <t>ANV9246</t>
  </si>
  <si>
    <t>18.00-25 40PR</t>
  </si>
  <si>
    <t>18.00-25 40PR L5S TL ARMOUR</t>
  </si>
  <si>
    <t>ANV9216</t>
  </si>
  <si>
    <t>14.00-24</t>
  </si>
  <si>
    <t>14.00-24 16PR L-2/G-2 TL ARMOUR</t>
  </si>
  <si>
    <t>ANV9218</t>
  </si>
  <si>
    <t>17.5-25</t>
  </si>
  <si>
    <t>17.5-25 16PR L-2/E-2 TL ARMOUR</t>
  </si>
  <si>
    <t>ANV9267</t>
  </si>
  <si>
    <t>23.5-25 16PR L-2/E-2 TT ARMOUR</t>
  </si>
  <si>
    <t>ANV9268</t>
  </si>
  <si>
    <t>15.5-25</t>
  </si>
  <si>
    <t>15.5-25 16PR L3/E3 TL ARMOUR</t>
  </si>
  <si>
    <t>ANV9219</t>
  </si>
  <si>
    <t>17.5-25 16PR L-3/E-3 TL ARMOUR</t>
  </si>
  <si>
    <t>ANV9269</t>
  </si>
  <si>
    <t>18.00-25</t>
  </si>
  <si>
    <t>18.00-25 16PR E-3/L-3 TT ARMOUR</t>
  </si>
  <si>
    <t>ANV9247</t>
  </si>
  <si>
    <t>14.00-24 24PR NE3 TL</t>
  </si>
  <si>
    <t>ANV9211</t>
  </si>
  <si>
    <t>12-16.5 12PR RG400 TL ARMOUR</t>
  </si>
  <si>
    <t>ANV9213</t>
  </si>
  <si>
    <t>14-17.5</t>
  </si>
  <si>
    <t>14-17.5 14PR RG500 NHS TL ARMOUR</t>
  </si>
  <si>
    <t>ANV9204</t>
  </si>
  <si>
    <t>19.5L-24 16PR L-5B TL ARMOUR</t>
  </si>
  <si>
    <t>ANV9270</t>
  </si>
  <si>
    <t>18.00-33-40 NE4B PA</t>
  </si>
  <si>
    <t>18.00-33 40PR NE4B PA TL ARMOUR</t>
  </si>
  <si>
    <t>P04752</t>
  </si>
  <si>
    <t>AN00515</t>
  </si>
  <si>
    <t>ANV9312</t>
  </si>
  <si>
    <t>195R14C-6PR</t>
  </si>
  <si>
    <t>195R14C-6PR SUPERANGE-Van 102/100S</t>
  </si>
  <si>
    <t>ANV9303</t>
  </si>
  <si>
    <t>195/60R16</t>
  </si>
  <si>
    <t>195/60R16 Journey-X 89H</t>
  </si>
  <si>
    <t>ANV9306</t>
  </si>
  <si>
    <t>215/50ZR17</t>
  </si>
  <si>
    <t>215/50ZR17  Journey-X 95W XL</t>
  </si>
  <si>
    <t>ANV9325</t>
  </si>
  <si>
    <t>235/65R17</t>
  </si>
  <si>
    <t>235/65R17 Quest-X SUV H/T 108 H XL</t>
  </si>
  <si>
    <t>ANV9336</t>
  </si>
  <si>
    <t>225/45ZR18</t>
  </si>
  <si>
    <t>225/45ZR18  Quest-X  95Y XL</t>
  </si>
  <si>
    <t>ANV9356</t>
  </si>
  <si>
    <t>235/50ZR19</t>
  </si>
  <si>
    <t>235/50ZR19 103Y Quest-X GREENTRAC</t>
  </si>
  <si>
    <t>P04786</t>
  </si>
  <si>
    <t>AN00238-3</t>
  </si>
  <si>
    <t>ANV9035</t>
  </si>
  <si>
    <t>12R22.5 18PR SR219 STEPRISING</t>
  </si>
  <si>
    <t>ANV7001</t>
  </si>
  <si>
    <t>22.5X8.25 Artillero | ET 120</t>
  </si>
  <si>
    <t>PT Rines</t>
  </si>
  <si>
    <t>Rines</t>
  </si>
  <si>
    <t>ANV7007</t>
  </si>
  <si>
    <t xml:space="preserve">17.5X6.75 </t>
  </si>
  <si>
    <t>17.5X6.75 | 6 Pernos 32.5 mm, Círculo de Pernos 222.25mm, Copa 164mm, ET 127</t>
  </si>
  <si>
    <t>P04794</t>
  </si>
  <si>
    <t>AN00240</t>
  </si>
  <si>
    <t>AN00702</t>
  </si>
  <si>
    <t>ANV9543</t>
  </si>
  <si>
    <t>295/80R22.5 R269  BRIDGESTONE</t>
  </si>
  <si>
    <t>P04856</t>
  </si>
  <si>
    <t>AN00316</t>
  </si>
  <si>
    <t>ANV9275</t>
  </si>
  <si>
    <t>14.9-28-12 R1 ARMOUR</t>
  </si>
  <si>
    <t>ANV9271</t>
  </si>
  <si>
    <t>9.5-32 8PR</t>
  </si>
  <si>
    <t xml:space="preserve"> 9.5-32 8PR R1 TT ARMOUR</t>
  </si>
  <si>
    <t>ANV9272</t>
  </si>
  <si>
    <t>30.5L-32 18PR</t>
  </si>
  <si>
    <t xml:space="preserve"> 30.5L-32 18PR R1 TT ARMOUR</t>
  </si>
  <si>
    <t>ANV9273</t>
  </si>
  <si>
    <t>18.4-34 12PR</t>
  </si>
  <si>
    <t xml:space="preserve"> 18.4-34 12PR R1 TT ARMOUR</t>
  </si>
  <si>
    <t>ANV9274</t>
  </si>
  <si>
    <t>18.4-38 16PR</t>
  </si>
  <si>
    <t>18.4-38 16PR  R1 TT ARMOUR</t>
  </si>
  <si>
    <t>ANV9225</t>
  </si>
  <si>
    <t>6.50-10</t>
  </si>
  <si>
    <t>6.50-10  SP900  ARMOUR</t>
  </si>
  <si>
    <t>ANV9244</t>
  </si>
  <si>
    <t>33X12-20</t>
  </si>
  <si>
    <t>33X12-20 (8,0KG) AW-2 ARMOUR</t>
  </si>
  <si>
    <t>ANV9241</t>
  </si>
  <si>
    <t>16.00-25-32</t>
  </si>
  <si>
    <t>16.00-25-32PR TL NE3 PA ARMOUR</t>
  </si>
  <si>
    <t>ANV9237</t>
  </si>
  <si>
    <t>18.00-25-40</t>
  </si>
  <si>
    <t>18.00-25-40PR TL NE4B ARMOUR</t>
  </si>
  <si>
    <t>AN00516</t>
  </si>
  <si>
    <t>ANV9327</t>
  </si>
  <si>
    <t>LT265/75R16-10PR</t>
  </si>
  <si>
    <t>LT265/75R16-10PR  Rough Master X/T 123 / 120S</t>
  </si>
  <si>
    <t>ANV9315</t>
  </si>
  <si>
    <t>LT235/80R17-10PR</t>
  </si>
  <si>
    <t>LT235/80R17-10PR Rough Master X/T 120 / 117R</t>
  </si>
  <si>
    <t>ANV9332</t>
  </si>
  <si>
    <t>LT285/70R17-10PR</t>
  </si>
  <si>
    <t>LT285/70R17-10PR 121 / 118S Rough Master X/T</t>
  </si>
  <si>
    <t>ANV9317</t>
  </si>
  <si>
    <t>245/70R16</t>
  </si>
  <si>
    <t>245/70R16 Rough Master X/T 113T XL</t>
  </si>
  <si>
    <t>ANV9318</t>
  </si>
  <si>
    <t xml:space="preserve">265/70R16 </t>
  </si>
  <si>
    <t>265/70R16 Rough Master X/T 112T</t>
  </si>
  <si>
    <t>ANV9322</t>
  </si>
  <si>
    <t xml:space="preserve">285/50R20 </t>
  </si>
  <si>
    <t>285/50R20 Rough Master X/T 116H</t>
  </si>
  <si>
    <t>AN00902</t>
  </si>
  <si>
    <t>ANV1902</t>
  </si>
  <si>
    <t>LT265/70R17</t>
  </si>
  <si>
    <t>LT265/70R17 123/120S ALIX  IMPACT A/T PLUS</t>
  </si>
  <si>
    <t>ETA</t>
  </si>
  <si>
    <t>AN007001</t>
  </si>
  <si>
    <t>AN00241</t>
  </si>
  <si>
    <t>AN00317</t>
  </si>
  <si>
    <t xml:space="preserve">12.00R20 20PR SR168 </t>
  </si>
  <si>
    <t xml:space="preserve">315/80R22.5 20PR TL SR198 </t>
  </si>
  <si>
    <t>315/80R22.5 20PR TL SR399</t>
  </si>
  <si>
    <t xml:space="preserve">315/80R22.5 20PR XTR189  </t>
  </si>
  <si>
    <t xml:space="preserve">315/80R22.5 20PR SR168     </t>
  </si>
  <si>
    <t xml:space="preserve">12.00R24 20PR SR168 TT </t>
  </si>
  <si>
    <t>3.00-15-20PR TT PLT328 ARMOUR</t>
  </si>
  <si>
    <t>28*9-15 SP900 ARMOUR</t>
  </si>
  <si>
    <t>14.00-24 24PR NE3 TL ARMOUR</t>
  </si>
  <si>
    <t>AN00242</t>
  </si>
  <si>
    <t>ANV7002</t>
  </si>
  <si>
    <t>ANV7003</t>
  </si>
  <si>
    <t>ANV7004</t>
  </si>
  <si>
    <t>ANV7005</t>
  </si>
  <si>
    <t>ANV7006</t>
  </si>
  <si>
    <t>22.5X8.25 Artillero</t>
  </si>
  <si>
    <t>22.5X8.25 Copa Americana</t>
  </si>
  <si>
    <t>22.5X8.25 Copa Europea</t>
  </si>
  <si>
    <t>22.5X9.00 Artillero</t>
  </si>
  <si>
    <t>22.5X9.00 Copa Americana</t>
  </si>
  <si>
    <t>22.5X9.00 Copa Europea</t>
  </si>
  <si>
    <t># En la Puerto Cabello AN00238-2.1, impuestos pagados, 20-02 en reconocimiento, ingreso a planta lunes 23 o martes 24 | Postergadas para 22/02 las ordenes: AN00901 ALIX IMPACT y AN00236-3 STEPRISING.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</si>
</sst>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164" fontId="0" fillId="2" borderId="0" xfId="0" applyNumberFormat="1" applyFill="1"/>
    <xf numFmtId="0" fontId="0" fillId="2" borderId="1" xfId="0" applyFill="1" applyBorder="1"/>
    <xf numFmtId="14" fontId="0" fillId="2" borderId="1" xfId="0" applyNumberFormat="1" applyFill="1" applyBorder="1"/>
    <xf numFmtId="164" fontId="0" fillId="2" borderId="1" xfId="0" applyNumberFormat="1" applyFill="1" applyBorder="1"/>
    <xf numFmtId="0" fontId="0" fillId="0" borderId="0" xfId="0" applyFill="1"/>
    <xf numFmtId="14" fontId="0" fillId="0" borderId="0" xfId="0" applyNumberFormat="1" applyFill="1"/>
    <xf numFmtId="164" fontId="0" fillId="0" borderId="0" xfId="0" applyNumberFormat="1" applyFill="1"/>
    <xf numFmtId="0" fontId="0" fillId="0" borderId="0" xfId="0" applyBorder="1"/>
    <xf numFmtId="14" fontId="0" fillId="0" borderId="0" xfId="0" applyNumberFormat="1" applyBorder="1"/>
    <xf numFmtId="164" fontId="0" fillId="0" borderId="0" xfId="0" applyNumberFormat="1" applyBorder="1"/>
    <xf numFmtId="0" fontId="1" fillId="0" borderId="0" xfId="0" applyFont="1"/>
    <xf numFmtId="0" fontId="0" fillId="3" borderId="0" xfId="0" applyFill="1"/>
    <xf numFmtId="3" fontId="0" fillId="0" borderId="0" xfId="0" applyNumberFormat="1"/>
    <xf numFmtId="3" fontId="0" fillId="0" borderId="0" xfId="0" applyNumberFormat="1" applyBorder="1"/>
    <xf numFmtId="3" fontId="0" fillId="3" borderId="0" xfId="0" applyNumberFormat="1" applyFill="1"/>
    <xf numFmtId="3" fontId="2" fillId="3" borderId="0" xfId="0" applyNumberFormat="1" applyFont="1" applyFill="1"/>
    <xf numFmtId="3" fontId="0" fillId="2" borderId="0" xfId="0" applyNumberFormat="1" applyFill="1"/>
    <xf numFmtId="3" fontId="0" fillId="2" borderId="1" xfId="0" applyNumberFormat="1" applyFill="1" applyBorder="1"/>
    <xf numFmtId="3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3ED60-A765-4C6D-9C1D-F474F0F00DA2}">
  <dimension ref="A1:R283"/>
  <sheetViews>
    <sheetView tabSelected="1" zoomScale="70" zoomScaleNormal="70" workbookViewId="0">
      <pane xSplit="7" ySplit="1" topLeftCell="H260" activePane="bottomRight" state="frozen"/>
      <selection pane="topRight" activeCell="H1" sqref="H1"/>
      <selection pane="bottomLeft" activeCell="A2" sqref="A2"/>
      <selection pane="bottomRight" activeCell="H1" sqref="H1:H1048576"/>
    </sheetView>
  </sheetViews>
  <sheetFormatPr baseColWidth="10" defaultRowHeight="15" x14ac:dyDescent="0.25"/>
  <cols>
    <col min="1" max="1" width="42.28515625" bestFit="1" customWidth="1"/>
    <col min="3" max="3" width="22.28515625" bestFit="1" customWidth="1"/>
    <col min="4" max="4" width="30.28515625" style="2" bestFit="1" customWidth="1"/>
    <col min="6" max="6" width="26.7109375" bestFit="1" customWidth="1"/>
    <col min="7" max="7" width="72.7109375" bestFit="1" customWidth="1"/>
    <col min="8" max="8" width="11.42578125" style="17"/>
    <col min="9" max="9" width="22.42578125" style="1" bestFit="1" customWidth="1"/>
    <col min="10" max="10" width="12.42578125" style="1" bestFit="1" customWidth="1"/>
  </cols>
  <sheetData>
    <row r="1" spans="1:14" x14ac:dyDescent="0.25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s="17" t="s">
        <v>7</v>
      </c>
      <c r="I1" s="1" t="s">
        <v>8</v>
      </c>
      <c r="J1" s="1" t="s">
        <v>536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25">
      <c r="A2" t="s">
        <v>45</v>
      </c>
      <c r="B2" t="s">
        <v>46</v>
      </c>
      <c r="C2" t="s">
        <v>47</v>
      </c>
      <c r="D2" s="2">
        <v>45940</v>
      </c>
      <c r="E2" t="s">
        <v>48</v>
      </c>
      <c r="F2" t="s">
        <v>49</v>
      </c>
      <c r="G2" t="s">
        <v>50</v>
      </c>
      <c r="H2" s="17">
        <v>60</v>
      </c>
      <c r="I2" s="1">
        <v>46033</v>
      </c>
      <c r="J2" s="1">
        <v>46087</v>
      </c>
      <c r="L2" t="s">
        <v>14</v>
      </c>
      <c r="M2" t="s">
        <v>51</v>
      </c>
      <c r="N2" t="str">
        <f t="shared" ref="N2:N42" si="0">+CONCATENATE(L2," ",M2," ",E2," ",G2," ",C2)</f>
        <v>PT Cauchos PSR ANV9301 185/60R15 Journey-X 88H XL AN00514-1</v>
      </c>
    </row>
    <row r="3" spans="1:14" x14ac:dyDescent="0.25">
      <c r="A3" t="s">
        <v>45</v>
      </c>
      <c r="B3" t="s">
        <v>46</v>
      </c>
      <c r="C3" t="s">
        <v>47</v>
      </c>
      <c r="D3" s="2">
        <v>45940</v>
      </c>
      <c r="E3" t="s">
        <v>52</v>
      </c>
      <c r="F3" t="s">
        <v>53</v>
      </c>
      <c r="G3" t="s">
        <v>54</v>
      </c>
      <c r="H3" s="17">
        <v>72</v>
      </c>
      <c r="I3" s="1">
        <v>46033</v>
      </c>
      <c r="J3" s="1">
        <v>46087</v>
      </c>
      <c r="L3" t="s">
        <v>14</v>
      </c>
      <c r="M3" t="s">
        <v>51</v>
      </c>
      <c r="N3" t="str">
        <f t="shared" si="0"/>
        <v>PT Cauchos PSR ANV9345 185/65R15 92H Journey-X GREENTRAC AN00514-1</v>
      </c>
    </row>
    <row r="4" spans="1:14" x14ac:dyDescent="0.25">
      <c r="A4" t="s">
        <v>45</v>
      </c>
      <c r="B4" t="s">
        <v>46</v>
      </c>
      <c r="C4" t="s">
        <v>47</v>
      </c>
      <c r="D4" s="2">
        <v>45940</v>
      </c>
      <c r="E4" t="s">
        <v>55</v>
      </c>
      <c r="F4" t="s">
        <v>56</v>
      </c>
      <c r="G4" t="s">
        <v>57</v>
      </c>
      <c r="H4" s="17">
        <v>52</v>
      </c>
      <c r="I4" s="1">
        <v>46033</v>
      </c>
      <c r="J4" s="1">
        <v>46087</v>
      </c>
      <c r="L4" t="s">
        <v>14</v>
      </c>
      <c r="M4" t="s">
        <v>51</v>
      </c>
      <c r="N4" t="str">
        <f t="shared" si="0"/>
        <v>PT Cauchos PSR ANV9346 195/50R15 82V Journey-X GREENTRAC AN00514-1</v>
      </c>
    </row>
    <row r="5" spans="1:14" x14ac:dyDescent="0.25">
      <c r="A5" t="s">
        <v>45</v>
      </c>
      <c r="B5" t="s">
        <v>46</v>
      </c>
      <c r="C5" t="s">
        <v>47</v>
      </c>
      <c r="D5" s="2">
        <v>45940</v>
      </c>
      <c r="E5" t="s">
        <v>58</v>
      </c>
      <c r="F5" t="s">
        <v>59</v>
      </c>
      <c r="G5" t="s">
        <v>60</v>
      </c>
      <c r="H5" s="17">
        <v>52</v>
      </c>
      <c r="I5" s="1">
        <v>46033</v>
      </c>
      <c r="J5" s="1">
        <v>46087</v>
      </c>
      <c r="L5" t="s">
        <v>14</v>
      </c>
      <c r="M5" t="s">
        <v>51</v>
      </c>
      <c r="N5" t="str">
        <f t="shared" si="0"/>
        <v>PT Cauchos PSR ANV9326 195/55R15  85V Journey-X AN00514-1</v>
      </c>
    </row>
    <row r="6" spans="1:14" x14ac:dyDescent="0.25">
      <c r="A6" t="s">
        <v>45</v>
      </c>
      <c r="B6" t="s">
        <v>46</v>
      </c>
      <c r="C6" t="s">
        <v>47</v>
      </c>
      <c r="D6" s="2">
        <v>45940</v>
      </c>
      <c r="E6" t="s">
        <v>61</v>
      </c>
      <c r="F6" t="s">
        <v>62</v>
      </c>
      <c r="G6" t="s">
        <v>63</v>
      </c>
      <c r="H6" s="17">
        <v>20</v>
      </c>
      <c r="I6" s="1">
        <v>46033</v>
      </c>
      <c r="J6" s="1">
        <v>46087</v>
      </c>
      <c r="L6" t="s">
        <v>14</v>
      </c>
      <c r="M6" t="s">
        <v>51</v>
      </c>
      <c r="N6" t="str">
        <f t="shared" si="0"/>
        <v>PT Cauchos PSR ANV9347 195/65R15 91V Journey-X GREENTRAC AN00514-1</v>
      </c>
    </row>
    <row r="7" spans="1:14" x14ac:dyDescent="0.25">
      <c r="A7" t="s">
        <v>45</v>
      </c>
      <c r="B7" t="s">
        <v>46</v>
      </c>
      <c r="C7" t="s">
        <v>47</v>
      </c>
      <c r="D7" s="2">
        <v>45940</v>
      </c>
      <c r="E7" t="s">
        <v>64</v>
      </c>
      <c r="F7" t="s">
        <v>65</v>
      </c>
      <c r="G7" t="s">
        <v>66</v>
      </c>
      <c r="H7" s="17">
        <v>52</v>
      </c>
      <c r="I7" s="1">
        <v>46033</v>
      </c>
      <c r="J7" s="1">
        <v>46087</v>
      </c>
      <c r="L7" t="s">
        <v>14</v>
      </c>
      <c r="M7" t="s">
        <v>51</v>
      </c>
      <c r="N7" t="str">
        <f t="shared" si="0"/>
        <v>PT Cauchos PSR ANV9348 205/65R15 94H Journey-X GREENTRAC AN00514-1</v>
      </c>
    </row>
    <row r="8" spans="1:14" x14ac:dyDescent="0.25">
      <c r="A8" t="s">
        <v>45</v>
      </c>
      <c r="B8" t="s">
        <v>46</v>
      </c>
      <c r="C8" t="s">
        <v>47</v>
      </c>
      <c r="D8" s="2">
        <v>45940</v>
      </c>
      <c r="E8" t="s">
        <v>67</v>
      </c>
      <c r="F8" t="s">
        <v>68</v>
      </c>
      <c r="G8" t="s">
        <v>69</v>
      </c>
      <c r="H8" s="17">
        <v>52</v>
      </c>
      <c r="I8" s="1">
        <v>46033</v>
      </c>
      <c r="J8" s="1">
        <v>46087</v>
      </c>
      <c r="L8" t="s">
        <v>14</v>
      </c>
      <c r="M8" t="s">
        <v>51</v>
      </c>
      <c r="N8" t="str">
        <f t="shared" si="0"/>
        <v>PT Cauchos PSR ANV9302 205/70R15 Journey-X 96H AN00514-1</v>
      </c>
    </row>
    <row r="9" spans="1:14" x14ac:dyDescent="0.25">
      <c r="A9" t="s">
        <v>45</v>
      </c>
      <c r="B9" t="s">
        <v>46</v>
      </c>
      <c r="C9" t="s">
        <v>47</v>
      </c>
      <c r="D9" s="2">
        <v>45940</v>
      </c>
      <c r="E9" t="s">
        <v>70</v>
      </c>
      <c r="F9" t="s">
        <v>71</v>
      </c>
      <c r="G9" t="s">
        <v>72</v>
      </c>
      <c r="H9" s="17">
        <v>32</v>
      </c>
      <c r="I9" s="1">
        <v>46033</v>
      </c>
      <c r="J9" s="1">
        <v>46087</v>
      </c>
      <c r="L9" t="s">
        <v>14</v>
      </c>
      <c r="M9" t="s">
        <v>51</v>
      </c>
      <c r="N9" t="str">
        <f t="shared" si="0"/>
        <v>PT Cauchos PSR ANV9304 205/60R16 Journey-X 92V AN00514-1</v>
      </c>
    </row>
    <row r="10" spans="1:14" x14ac:dyDescent="0.25">
      <c r="A10" t="s">
        <v>45</v>
      </c>
      <c r="B10" t="s">
        <v>46</v>
      </c>
      <c r="C10" t="s">
        <v>47</v>
      </c>
      <c r="D10" s="2">
        <v>45940</v>
      </c>
      <c r="E10" t="s">
        <v>73</v>
      </c>
      <c r="F10" t="s">
        <v>74</v>
      </c>
      <c r="G10" t="s">
        <v>75</v>
      </c>
      <c r="H10" s="17">
        <v>32</v>
      </c>
      <c r="I10" s="1">
        <v>46033</v>
      </c>
      <c r="J10" s="1">
        <v>46087</v>
      </c>
      <c r="L10" t="s">
        <v>14</v>
      </c>
      <c r="M10" t="s">
        <v>51</v>
      </c>
      <c r="N10" t="str">
        <f t="shared" si="0"/>
        <v>PT Cauchos PSR ANV9323 215/65R16 Journey-X HP 98H AN00514-1</v>
      </c>
    </row>
    <row r="11" spans="1:14" x14ac:dyDescent="0.25">
      <c r="A11" t="s">
        <v>45</v>
      </c>
      <c r="B11" t="s">
        <v>46</v>
      </c>
      <c r="C11" t="s">
        <v>47</v>
      </c>
      <c r="D11" s="2">
        <v>45940</v>
      </c>
      <c r="E11" t="s">
        <v>76</v>
      </c>
      <c r="F11" t="s">
        <v>77</v>
      </c>
      <c r="G11" t="s">
        <v>78</v>
      </c>
      <c r="H11" s="17">
        <v>20</v>
      </c>
      <c r="I11" s="1">
        <v>46033</v>
      </c>
      <c r="J11" s="1">
        <v>46087</v>
      </c>
      <c r="L11" t="s">
        <v>14</v>
      </c>
      <c r="M11" t="s">
        <v>51</v>
      </c>
      <c r="N11" t="str">
        <f t="shared" si="0"/>
        <v>PT Cauchos PSR ANV9351 215/45ZR17 91W Journey-X GREENTRAC AN00514-1</v>
      </c>
    </row>
    <row r="12" spans="1:14" x14ac:dyDescent="0.25">
      <c r="A12" t="s">
        <v>45</v>
      </c>
      <c r="B12" t="s">
        <v>46</v>
      </c>
      <c r="C12" t="s">
        <v>47</v>
      </c>
      <c r="D12" s="2">
        <v>45940</v>
      </c>
      <c r="E12" t="s">
        <v>79</v>
      </c>
      <c r="F12" t="s">
        <v>80</v>
      </c>
      <c r="G12" t="s">
        <v>81</v>
      </c>
      <c r="H12" s="17">
        <v>40</v>
      </c>
      <c r="I12" s="1">
        <v>46033</v>
      </c>
      <c r="J12" s="1">
        <v>46087</v>
      </c>
      <c r="L12" t="s">
        <v>14</v>
      </c>
      <c r="M12" t="s">
        <v>51</v>
      </c>
      <c r="N12" t="str">
        <f t="shared" si="0"/>
        <v>PT Cauchos PSR ANV9352 225/45ZR17 94W Journey-X GREENTRAC AN00514-1</v>
      </c>
    </row>
    <row r="13" spans="1:14" x14ac:dyDescent="0.25">
      <c r="A13" t="s">
        <v>45</v>
      </c>
      <c r="B13" t="s">
        <v>46</v>
      </c>
      <c r="C13" t="s">
        <v>47</v>
      </c>
      <c r="D13" s="2">
        <v>45940</v>
      </c>
      <c r="E13" t="s">
        <v>82</v>
      </c>
      <c r="F13" t="s">
        <v>83</v>
      </c>
      <c r="G13" t="s">
        <v>84</v>
      </c>
      <c r="H13" s="17">
        <v>48</v>
      </c>
      <c r="I13" s="1">
        <v>46033</v>
      </c>
      <c r="J13" s="1">
        <v>46087</v>
      </c>
      <c r="L13" t="s">
        <v>14</v>
      </c>
      <c r="M13" t="s">
        <v>51</v>
      </c>
      <c r="N13" t="str">
        <f t="shared" si="0"/>
        <v>PT Cauchos PSR ANV9307 205/50ZR17 Quest-X 93Y XL AN00514-1</v>
      </c>
    </row>
    <row r="14" spans="1:14" x14ac:dyDescent="0.25">
      <c r="A14" t="s">
        <v>45</v>
      </c>
      <c r="B14" t="s">
        <v>46</v>
      </c>
      <c r="C14" t="s">
        <v>47</v>
      </c>
      <c r="D14" s="2">
        <v>45940</v>
      </c>
      <c r="E14" t="s">
        <v>85</v>
      </c>
      <c r="F14" t="s">
        <v>86</v>
      </c>
      <c r="G14" t="s">
        <v>87</v>
      </c>
      <c r="H14" s="17">
        <v>20</v>
      </c>
      <c r="I14" s="1">
        <v>46033</v>
      </c>
      <c r="J14" s="1">
        <v>46087</v>
      </c>
      <c r="L14" t="s">
        <v>14</v>
      </c>
      <c r="M14" t="s">
        <v>51</v>
      </c>
      <c r="N14" t="str">
        <f t="shared" si="0"/>
        <v>PT Cauchos PSR ANV9308 215/55ZR17 Quest-X 98W XL AN00514-1</v>
      </c>
    </row>
    <row r="15" spans="1:14" x14ac:dyDescent="0.25">
      <c r="A15" t="s">
        <v>45</v>
      </c>
      <c r="B15" t="s">
        <v>46</v>
      </c>
      <c r="C15" t="s">
        <v>47</v>
      </c>
      <c r="D15" s="2">
        <v>45940</v>
      </c>
      <c r="E15" t="s">
        <v>88</v>
      </c>
      <c r="F15" t="s">
        <v>89</v>
      </c>
      <c r="G15" t="s">
        <v>90</v>
      </c>
      <c r="H15" s="17">
        <v>88</v>
      </c>
      <c r="I15" s="1">
        <v>46033</v>
      </c>
      <c r="J15" s="1">
        <v>46087</v>
      </c>
      <c r="L15" t="s">
        <v>14</v>
      </c>
      <c r="M15" t="s">
        <v>51</v>
      </c>
      <c r="N15" t="str">
        <f t="shared" si="0"/>
        <v>PT Cauchos PSR ANV9309 225/50ZR17 Quest-X 98Y XL AN00514-1</v>
      </c>
    </row>
    <row r="16" spans="1:14" x14ac:dyDescent="0.25">
      <c r="A16" t="s">
        <v>45</v>
      </c>
      <c r="B16" t="s">
        <v>46</v>
      </c>
      <c r="C16" t="s">
        <v>47</v>
      </c>
      <c r="D16" s="2">
        <v>45940</v>
      </c>
      <c r="E16" t="s">
        <v>91</v>
      </c>
      <c r="F16" t="s">
        <v>92</v>
      </c>
      <c r="G16" t="s">
        <v>93</v>
      </c>
      <c r="H16" s="17">
        <v>60</v>
      </c>
      <c r="I16" s="1">
        <v>46033</v>
      </c>
      <c r="J16" s="1">
        <v>46087</v>
      </c>
      <c r="L16" t="s">
        <v>14</v>
      </c>
      <c r="M16" t="s">
        <v>51</v>
      </c>
      <c r="N16" t="str">
        <f t="shared" si="0"/>
        <v>PT Cauchos PSR ANV9310 225/55ZR17 Quest-X 97W AN00514-1</v>
      </c>
    </row>
    <row r="17" spans="1:14" x14ac:dyDescent="0.25">
      <c r="A17" t="s">
        <v>45</v>
      </c>
      <c r="B17" t="s">
        <v>46</v>
      </c>
      <c r="C17" t="s">
        <v>47</v>
      </c>
      <c r="D17" s="2">
        <v>45940</v>
      </c>
      <c r="E17" t="s">
        <v>94</v>
      </c>
      <c r="F17" t="s">
        <v>95</v>
      </c>
      <c r="G17" t="s">
        <v>96</v>
      </c>
      <c r="H17" s="17">
        <v>80</v>
      </c>
      <c r="I17" s="1">
        <v>46033</v>
      </c>
      <c r="J17" s="1">
        <v>46087</v>
      </c>
      <c r="L17" t="s">
        <v>14</v>
      </c>
      <c r="M17" t="s">
        <v>51</v>
      </c>
      <c r="N17" t="str">
        <f t="shared" si="0"/>
        <v>PT Cauchos PSR ANV9357 235/55ZR19 105W Quest-X GREENTRAC AN00514-1</v>
      </c>
    </row>
    <row r="18" spans="1:14" x14ac:dyDescent="0.25">
      <c r="A18" t="s">
        <v>45</v>
      </c>
      <c r="B18" t="s">
        <v>46</v>
      </c>
      <c r="C18" t="s">
        <v>47</v>
      </c>
      <c r="D18" s="2">
        <v>45940</v>
      </c>
      <c r="E18" t="s">
        <v>97</v>
      </c>
      <c r="F18" t="s">
        <v>98</v>
      </c>
      <c r="G18" t="s">
        <v>99</v>
      </c>
      <c r="H18" s="17">
        <v>12</v>
      </c>
      <c r="I18" s="1">
        <v>46033</v>
      </c>
      <c r="J18" s="1">
        <v>46087</v>
      </c>
      <c r="L18" t="s">
        <v>14</v>
      </c>
      <c r="M18" t="s">
        <v>100</v>
      </c>
      <c r="N18" t="str">
        <f t="shared" si="0"/>
        <v>PT Cauchos LTR ANV9360 255/50ZR20    109/XL/Y  GREENTRAC AN00514-1</v>
      </c>
    </row>
    <row r="19" spans="1:14" x14ac:dyDescent="0.25">
      <c r="A19" t="s">
        <v>45</v>
      </c>
      <c r="B19" t="s">
        <v>46</v>
      </c>
      <c r="C19" t="s">
        <v>47</v>
      </c>
      <c r="D19" s="2">
        <v>45940</v>
      </c>
      <c r="E19" t="s">
        <v>101</v>
      </c>
      <c r="F19" t="s">
        <v>102</v>
      </c>
      <c r="G19" t="s">
        <v>103</v>
      </c>
      <c r="H19" s="17">
        <v>20</v>
      </c>
      <c r="I19" s="1">
        <v>46033</v>
      </c>
      <c r="J19" s="1">
        <v>46087</v>
      </c>
      <c r="L19" t="s">
        <v>14</v>
      </c>
      <c r="M19" t="s">
        <v>100</v>
      </c>
      <c r="N19" t="str">
        <f t="shared" si="0"/>
        <v>PT Cauchos LTR ANV9361 275/50ZR20113/XL/Y  GREENTRAC AN00514-1</v>
      </c>
    </row>
    <row r="20" spans="1:14" x14ac:dyDescent="0.25">
      <c r="A20" t="s">
        <v>45</v>
      </c>
      <c r="B20" t="s">
        <v>46</v>
      </c>
      <c r="C20" t="s">
        <v>47</v>
      </c>
      <c r="D20" s="2">
        <v>45940</v>
      </c>
      <c r="E20" t="s">
        <v>104</v>
      </c>
      <c r="F20" t="s">
        <v>105</v>
      </c>
      <c r="G20" t="s">
        <v>106</v>
      </c>
      <c r="H20" s="17">
        <v>20</v>
      </c>
      <c r="I20" s="1">
        <v>46033</v>
      </c>
      <c r="J20" s="1">
        <v>46087</v>
      </c>
      <c r="L20" t="s">
        <v>14</v>
      </c>
      <c r="M20" t="s">
        <v>100</v>
      </c>
      <c r="N20" t="str">
        <f t="shared" si="0"/>
        <v>PT Cauchos LTR ANV9365 265/70R16112/T  GREENTRAC AN00514-1</v>
      </c>
    </row>
    <row r="21" spans="1:14" x14ac:dyDescent="0.25">
      <c r="A21" t="s">
        <v>45</v>
      </c>
      <c r="B21" t="s">
        <v>46</v>
      </c>
      <c r="C21" t="s">
        <v>47</v>
      </c>
      <c r="D21" s="2">
        <v>45940</v>
      </c>
      <c r="E21" t="s">
        <v>107</v>
      </c>
      <c r="F21" t="s">
        <v>108</v>
      </c>
      <c r="G21" t="s">
        <v>109</v>
      </c>
      <c r="H21" s="17">
        <v>28</v>
      </c>
      <c r="I21" s="1">
        <v>46033</v>
      </c>
      <c r="J21" s="1">
        <v>46087</v>
      </c>
      <c r="L21" t="s">
        <v>14</v>
      </c>
      <c r="M21" t="s">
        <v>100</v>
      </c>
      <c r="N21" t="str">
        <f t="shared" si="0"/>
        <v>PT Cauchos LTR ANV9324 215/60R17 Quest-X SUV H/T 96 H AN00514-1</v>
      </c>
    </row>
    <row r="22" spans="1:14" x14ac:dyDescent="0.25">
      <c r="A22" t="s">
        <v>45</v>
      </c>
      <c r="B22" t="s">
        <v>46</v>
      </c>
      <c r="C22" t="s">
        <v>47</v>
      </c>
      <c r="D22" s="2">
        <v>45940</v>
      </c>
      <c r="E22" t="s">
        <v>110</v>
      </c>
      <c r="F22" t="s">
        <v>111</v>
      </c>
      <c r="G22" t="s">
        <v>112</v>
      </c>
      <c r="H22" s="17">
        <v>20</v>
      </c>
      <c r="I22" s="1">
        <v>46033</v>
      </c>
      <c r="J22" s="1">
        <v>46087</v>
      </c>
      <c r="L22" t="s">
        <v>14</v>
      </c>
      <c r="M22" t="s">
        <v>100</v>
      </c>
      <c r="N22" t="str">
        <f t="shared" si="0"/>
        <v>PT Cauchos LTR ANV9362 265/65R17116/H  GREENTRAC AN00514-1</v>
      </c>
    </row>
    <row r="23" spans="1:14" x14ac:dyDescent="0.25">
      <c r="A23" t="s">
        <v>45</v>
      </c>
      <c r="B23" t="s">
        <v>46</v>
      </c>
      <c r="C23" t="s">
        <v>47</v>
      </c>
      <c r="D23" s="2">
        <v>45940</v>
      </c>
      <c r="E23" t="s">
        <v>113</v>
      </c>
      <c r="F23" t="s">
        <v>114</v>
      </c>
      <c r="G23" t="s">
        <v>115</v>
      </c>
      <c r="H23" s="17">
        <v>12</v>
      </c>
      <c r="I23" s="1">
        <v>46033</v>
      </c>
      <c r="J23" s="1">
        <v>46087</v>
      </c>
      <c r="L23" t="s">
        <v>14</v>
      </c>
      <c r="M23" t="s">
        <v>100</v>
      </c>
      <c r="N23" t="str">
        <f t="shared" si="0"/>
        <v>PT Cauchos LTR ANV9364 265/60R18110/H  GREENTRAC AN00514-1</v>
      </c>
    </row>
    <row r="24" spans="1:14" x14ac:dyDescent="0.25">
      <c r="A24" t="s">
        <v>45</v>
      </c>
      <c r="B24" t="s">
        <v>46</v>
      </c>
      <c r="C24" t="s">
        <v>47</v>
      </c>
      <c r="D24" s="2">
        <v>45940</v>
      </c>
      <c r="E24" t="s">
        <v>116</v>
      </c>
      <c r="F24" t="s">
        <v>117</v>
      </c>
      <c r="G24" t="s">
        <v>118</v>
      </c>
      <c r="H24" s="17">
        <v>12</v>
      </c>
      <c r="I24" s="1">
        <v>46033</v>
      </c>
      <c r="J24" s="1">
        <v>46087</v>
      </c>
      <c r="L24" t="s">
        <v>14</v>
      </c>
      <c r="M24" t="s">
        <v>100</v>
      </c>
      <c r="N24" t="str">
        <f t="shared" si="0"/>
        <v>PT Cauchos LTR ANV9363 265/70R17115/T  GREENTRAC AN00514-1</v>
      </c>
    </row>
    <row r="25" spans="1:14" x14ac:dyDescent="0.25">
      <c r="A25" t="s">
        <v>45</v>
      </c>
      <c r="B25" t="s">
        <v>46</v>
      </c>
      <c r="C25" t="s">
        <v>47</v>
      </c>
      <c r="D25" s="2">
        <v>45940</v>
      </c>
      <c r="E25" t="s">
        <v>119</v>
      </c>
      <c r="F25" t="s">
        <v>120</v>
      </c>
      <c r="G25" t="s">
        <v>121</v>
      </c>
      <c r="H25" s="17">
        <v>52</v>
      </c>
      <c r="I25" s="1">
        <v>46033</v>
      </c>
      <c r="J25" s="1">
        <v>46087</v>
      </c>
      <c r="L25" t="s">
        <v>14</v>
      </c>
      <c r="M25" t="s">
        <v>51</v>
      </c>
      <c r="N25" t="str">
        <f t="shared" si="0"/>
        <v>PT Cauchos PSR ANV9313 195R15C-8PR SUPERANGE-Van 106/104S AN00514-1</v>
      </c>
    </row>
    <row r="26" spans="1:14" x14ac:dyDescent="0.25">
      <c r="A26" t="s">
        <v>122</v>
      </c>
      <c r="B26" t="s">
        <v>123</v>
      </c>
      <c r="C26" t="s">
        <v>124</v>
      </c>
      <c r="D26" s="2">
        <v>45947</v>
      </c>
      <c r="E26" t="s">
        <v>125</v>
      </c>
      <c r="F26" t="s">
        <v>126</v>
      </c>
      <c r="G26" t="s">
        <v>127</v>
      </c>
      <c r="H26" s="17">
        <v>160</v>
      </c>
      <c r="I26" s="1">
        <v>46028</v>
      </c>
      <c r="J26" s="1">
        <v>46075</v>
      </c>
      <c r="L26" t="s">
        <v>14</v>
      </c>
      <c r="M26" t="s">
        <v>128</v>
      </c>
      <c r="N26" t="str">
        <f t="shared" si="0"/>
        <v>PT Cauchos TBR ANV9031 255/70R22.5 16PR TL SR198 STEPRISING AN00236-3</v>
      </c>
    </row>
    <row r="27" spans="1:14" x14ac:dyDescent="0.25">
      <c r="A27" t="s">
        <v>122</v>
      </c>
      <c r="B27" t="s">
        <v>123</v>
      </c>
      <c r="C27" t="s">
        <v>124</v>
      </c>
      <c r="D27" s="2">
        <v>45947</v>
      </c>
      <c r="E27" t="s">
        <v>129</v>
      </c>
      <c r="F27" t="s">
        <v>130</v>
      </c>
      <c r="G27" t="s">
        <v>131</v>
      </c>
      <c r="H27" s="17">
        <v>140</v>
      </c>
      <c r="I27" s="1">
        <v>46028</v>
      </c>
      <c r="J27" s="1">
        <v>46075</v>
      </c>
      <c r="L27" t="s">
        <v>14</v>
      </c>
      <c r="M27" t="s">
        <v>128</v>
      </c>
      <c r="N27" t="str">
        <f t="shared" si="0"/>
        <v>PT Cauchos TBR ANV9026 295/80R22.5 18PR SR168 TL STEPPRISING AN00236-3</v>
      </c>
    </row>
    <row r="28" spans="1:14" x14ac:dyDescent="0.25">
      <c r="A28" t="s">
        <v>122</v>
      </c>
      <c r="B28" t="s">
        <v>123</v>
      </c>
      <c r="C28" t="s">
        <v>124</v>
      </c>
      <c r="D28" s="2">
        <v>45947</v>
      </c>
      <c r="E28" t="s">
        <v>132</v>
      </c>
      <c r="F28" t="s">
        <v>133</v>
      </c>
      <c r="G28" t="s">
        <v>134</v>
      </c>
      <c r="H28" s="17">
        <v>140</v>
      </c>
      <c r="I28" s="1">
        <v>46028</v>
      </c>
      <c r="J28" s="1">
        <v>46075</v>
      </c>
      <c r="L28" t="s">
        <v>14</v>
      </c>
      <c r="M28" t="s">
        <v>128</v>
      </c>
      <c r="N28" t="str">
        <f t="shared" si="0"/>
        <v>PT Cauchos TBR ANV9013 295/80R22.5 18PR SR198 STEPRISING AN00236-3</v>
      </c>
    </row>
    <row r="29" spans="1:14" x14ac:dyDescent="0.25">
      <c r="A29" t="s">
        <v>122</v>
      </c>
      <c r="B29" t="s">
        <v>123</v>
      </c>
      <c r="C29" t="s">
        <v>124</v>
      </c>
      <c r="D29" s="2">
        <v>45947</v>
      </c>
      <c r="E29" t="s">
        <v>129</v>
      </c>
      <c r="F29" t="s">
        <v>130</v>
      </c>
      <c r="G29" t="s">
        <v>131</v>
      </c>
      <c r="H29" s="17">
        <v>124</v>
      </c>
      <c r="I29" s="1">
        <v>46028</v>
      </c>
      <c r="J29" s="1">
        <v>46075</v>
      </c>
      <c r="L29" t="s">
        <v>14</v>
      </c>
      <c r="M29" t="s">
        <v>128</v>
      </c>
      <c r="N29" t="str">
        <f t="shared" si="0"/>
        <v>PT Cauchos TBR ANV9026 295/80R22.5 18PR SR168 TL STEPPRISING AN00236-3</v>
      </c>
    </row>
    <row r="30" spans="1:14" x14ac:dyDescent="0.25">
      <c r="A30" t="s">
        <v>122</v>
      </c>
      <c r="C30" t="s">
        <v>135</v>
      </c>
      <c r="D30" s="2">
        <v>45947</v>
      </c>
      <c r="E30" t="s">
        <v>129</v>
      </c>
      <c r="F30" t="s">
        <v>130</v>
      </c>
      <c r="G30" t="s">
        <v>131</v>
      </c>
      <c r="H30" s="17">
        <v>126</v>
      </c>
      <c r="L30" t="s">
        <v>14</v>
      </c>
      <c r="M30" t="s">
        <v>128</v>
      </c>
      <c r="N30" t="str">
        <f t="shared" si="0"/>
        <v>PT Cauchos TBR ANV9026 295/80R22.5 18PR SR168 TL STEPPRISING AN00236-4</v>
      </c>
    </row>
    <row r="31" spans="1:14" x14ac:dyDescent="0.25">
      <c r="A31" t="s">
        <v>122</v>
      </c>
      <c r="C31" t="s">
        <v>135</v>
      </c>
      <c r="D31" s="2">
        <v>45947</v>
      </c>
      <c r="E31" t="s">
        <v>129</v>
      </c>
      <c r="F31" t="s">
        <v>130</v>
      </c>
      <c r="G31" t="s">
        <v>131</v>
      </c>
      <c r="H31" s="17">
        <v>114</v>
      </c>
      <c r="L31" t="s">
        <v>14</v>
      </c>
      <c r="M31" t="s">
        <v>128</v>
      </c>
      <c r="N31" t="str">
        <f t="shared" si="0"/>
        <v>PT Cauchos TBR ANV9026 295/80R22.5 18PR SR168 TL STEPPRISING AN00236-4</v>
      </c>
    </row>
    <row r="32" spans="1:14" x14ac:dyDescent="0.25">
      <c r="A32" t="s">
        <v>122</v>
      </c>
      <c r="B32" t="s">
        <v>136</v>
      </c>
      <c r="C32" t="s">
        <v>137</v>
      </c>
      <c r="D32" s="2">
        <v>45954</v>
      </c>
      <c r="E32" t="s">
        <v>138</v>
      </c>
      <c r="F32" t="s">
        <v>139</v>
      </c>
      <c r="G32" t="s">
        <v>140</v>
      </c>
      <c r="H32" s="17">
        <v>720</v>
      </c>
      <c r="L32" t="s">
        <v>141</v>
      </c>
      <c r="M32" t="s">
        <v>37</v>
      </c>
      <c r="N32" t="str">
        <f t="shared" si="0"/>
        <v>PT Tripas TDS ANV8020 Inner Tube  750-16  TR177A AN00237</v>
      </c>
    </row>
    <row r="33" spans="1:14" x14ac:dyDescent="0.25">
      <c r="A33" t="s">
        <v>122</v>
      </c>
      <c r="B33" t="s">
        <v>136</v>
      </c>
      <c r="C33" t="s">
        <v>137</v>
      </c>
      <c r="D33" s="2">
        <v>45954</v>
      </c>
      <c r="E33" t="s">
        <v>142</v>
      </c>
      <c r="F33" t="s">
        <v>143</v>
      </c>
      <c r="G33" t="s">
        <v>144</v>
      </c>
      <c r="H33" s="17">
        <v>400</v>
      </c>
      <c r="L33" t="s">
        <v>141</v>
      </c>
      <c r="M33" t="s">
        <v>37</v>
      </c>
      <c r="N33" t="str">
        <f t="shared" si="0"/>
        <v>PT Tripas TDS ANV8021 Inner Tube1100-16TR15 AN00237</v>
      </c>
    </row>
    <row r="34" spans="1:14" x14ac:dyDescent="0.25">
      <c r="A34" t="s">
        <v>122</v>
      </c>
      <c r="B34" t="s">
        <v>136</v>
      </c>
      <c r="C34" t="s">
        <v>137</v>
      </c>
      <c r="D34" s="2">
        <v>45954</v>
      </c>
      <c r="E34" t="s">
        <v>145</v>
      </c>
      <c r="F34" t="s">
        <v>146</v>
      </c>
      <c r="G34" t="s">
        <v>147</v>
      </c>
      <c r="H34" s="17">
        <v>402</v>
      </c>
      <c r="L34" t="s">
        <v>141</v>
      </c>
      <c r="M34" t="s">
        <v>38</v>
      </c>
      <c r="N34" t="str">
        <f t="shared" si="0"/>
        <v>PT Tripas TTS ANV8022 Inner Tube1200-20TR78A AN00237</v>
      </c>
    </row>
    <row r="35" spans="1:14" x14ac:dyDescent="0.25">
      <c r="A35" t="s">
        <v>122</v>
      </c>
      <c r="B35" t="s">
        <v>136</v>
      </c>
      <c r="C35" t="s">
        <v>137</v>
      </c>
      <c r="D35" s="2">
        <v>45954</v>
      </c>
      <c r="E35" t="s">
        <v>148</v>
      </c>
      <c r="F35" t="s">
        <v>149</v>
      </c>
      <c r="G35" t="s">
        <v>150</v>
      </c>
      <c r="H35" s="17">
        <v>400</v>
      </c>
      <c r="L35" t="s">
        <v>141</v>
      </c>
      <c r="M35" t="s">
        <v>38</v>
      </c>
      <c r="N35" t="str">
        <f t="shared" si="0"/>
        <v>PT Tripas TTS ANV8023 Inner Tube1200-24TR78A AN00237</v>
      </c>
    </row>
    <row r="36" spans="1:14" x14ac:dyDescent="0.25">
      <c r="A36" t="s">
        <v>122</v>
      </c>
      <c r="B36" t="s">
        <v>136</v>
      </c>
      <c r="C36" t="s">
        <v>137</v>
      </c>
      <c r="D36" s="2">
        <v>45954</v>
      </c>
      <c r="E36" t="s">
        <v>151</v>
      </c>
      <c r="F36" t="s">
        <v>152</v>
      </c>
      <c r="G36" t="s">
        <v>153</v>
      </c>
      <c r="H36" s="17">
        <v>52</v>
      </c>
      <c r="L36" t="s">
        <v>141</v>
      </c>
      <c r="M36" t="s">
        <v>38</v>
      </c>
      <c r="N36" t="str">
        <f t="shared" si="0"/>
        <v>PT Tripas TTS ANV8024 Inner Tube1400-24TR179A AN00237</v>
      </c>
    </row>
    <row r="37" spans="1:14" x14ac:dyDescent="0.25">
      <c r="A37" t="s">
        <v>122</v>
      </c>
      <c r="B37" t="s">
        <v>136</v>
      </c>
      <c r="C37" t="s">
        <v>137</v>
      </c>
      <c r="D37" s="2">
        <v>45954</v>
      </c>
      <c r="E37" t="s">
        <v>154</v>
      </c>
      <c r="F37" t="s">
        <v>155</v>
      </c>
      <c r="G37" t="s">
        <v>156</v>
      </c>
      <c r="H37" s="17">
        <v>42</v>
      </c>
      <c r="L37" t="s">
        <v>141</v>
      </c>
      <c r="M37" t="s">
        <v>38</v>
      </c>
      <c r="N37" t="str">
        <f t="shared" si="0"/>
        <v>PT Tripas TTS ANV8025 Inner Tube17.5R25TR179A AN00237</v>
      </c>
    </row>
    <row r="38" spans="1:14" x14ac:dyDescent="0.25">
      <c r="A38" t="s">
        <v>122</v>
      </c>
      <c r="B38" t="s">
        <v>136</v>
      </c>
      <c r="C38" t="s">
        <v>137</v>
      </c>
      <c r="D38" s="2">
        <v>45954</v>
      </c>
      <c r="E38" t="s">
        <v>157</v>
      </c>
      <c r="F38" t="s">
        <v>158</v>
      </c>
      <c r="G38" t="s">
        <v>159</v>
      </c>
      <c r="H38" s="17">
        <v>40</v>
      </c>
      <c r="L38" t="s">
        <v>141</v>
      </c>
      <c r="M38" t="s">
        <v>38</v>
      </c>
      <c r="N38" t="str">
        <f t="shared" si="0"/>
        <v>PT Tripas TTS ANV8026 Inner Tube20.5-25TR179A AN00237</v>
      </c>
    </row>
    <row r="39" spans="1:14" x14ac:dyDescent="0.25">
      <c r="A39" t="s">
        <v>122</v>
      </c>
      <c r="B39" t="s">
        <v>136</v>
      </c>
      <c r="C39" t="s">
        <v>137</v>
      </c>
      <c r="D39" s="2">
        <v>45954</v>
      </c>
      <c r="E39" t="s">
        <v>160</v>
      </c>
      <c r="F39" t="s">
        <v>24</v>
      </c>
      <c r="G39" t="s">
        <v>161</v>
      </c>
      <c r="H39" s="17">
        <v>40</v>
      </c>
      <c r="L39" t="s">
        <v>141</v>
      </c>
      <c r="M39" t="s">
        <v>38</v>
      </c>
      <c r="N39" t="str">
        <f t="shared" si="0"/>
        <v>PT Tripas TTS ANV8027 Inner Tube23.5-25TR179A AN00237</v>
      </c>
    </row>
    <row r="40" spans="1:14" x14ac:dyDescent="0.25">
      <c r="A40" s="12" t="s">
        <v>122</v>
      </c>
      <c r="B40" s="12" t="s">
        <v>136</v>
      </c>
      <c r="C40" s="12" t="s">
        <v>137</v>
      </c>
      <c r="D40" s="13">
        <v>45954</v>
      </c>
      <c r="E40" s="12" t="s">
        <v>162</v>
      </c>
      <c r="F40" s="12" t="s">
        <v>163</v>
      </c>
      <c r="G40" s="12" t="s">
        <v>164</v>
      </c>
      <c r="H40" s="18">
        <v>20</v>
      </c>
      <c r="I40" s="14"/>
      <c r="J40" s="14"/>
      <c r="K40" s="12"/>
      <c r="L40" s="12" t="s">
        <v>141</v>
      </c>
      <c r="M40" s="12" t="s">
        <v>38</v>
      </c>
      <c r="N40" s="12" t="str">
        <f t="shared" si="0"/>
        <v>PT Tripas TTS ANV8028 Inner Tube26.5-25TR179A AN00237</v>
      </c>
    </row>
    <row r="41" spans="1:14" x14ac:dyDescent="0.25">
      <c r="A41" t="s">
        <v>122</v>
      </c>
      <c r="B41" t="s">
        <v>136</v>
      </c>
      <c r="C41" t="s">
        <v>137</v>
      </c>
      <c r="D41" s="2">
        <v>45954</v>
      </c>
      <c r="E41" t="s">
        <v>165</v>
      </c>
      <c r="F41" t="s">
        <v>39</v>
      </c>
      <c r="G41" t="s">
        <v>166</v>
      </c>
      <c r="H41" s="17">
        <v>200</v>
      </c>
      <c r="L41" t="s">
        <v>141</v>
      </c>
      <c r="M41" t="s">
        <v>38</v>
      </c>
      <c r="N41" t="str">
        <f t="shared" si="0"/>
        <v>PT Tripas TTS ANV8029 Inner Tube14.9-24TR218A AN00237</v>
      </c>
    </row>
    <row r="42" spans="1:14" x14ac:dyDescent="0.25">
      <c r="A42" t="s">
        <v>122</v>
      </c>
      <c r="B42" t="s">
        <v>136</v>
      </c>
      <c r="C42" t="s">
        <v>137</v>
      </c>
      <c r="D42" s="2">
        <v>45954</v>
      </c>
      <c r="E42" t="s">
        <v>167</v>
      </c>
      <c r="F42" t="s">
        <v>43</v>
      </c>
      <c r="G42" t="s">
        <v>168</v>
      </c>
      <c r="H42" s="17">
        <v>204</v>
      </c>
      <c r="L42" t="s">
        <v>141</v>
      </c>
      <c r="M42" t="s">
        <v>38</v>
      </c>
      <c r="N42" t="str">
        <f t="shared" si="0"/>
        <v>PT Tripas TTS ANV8030 Inner Tube14.9-28TR218A AN00237</v>
      </c>
    </row>
    <row r="43" spans="1:14" x14ac:dyDescent="0.25">
      <c r="A43" t="s">
        <v>122</v>
      </c>
      <c r="B43" t="s">
        <v>136</v>
      </c>
      <c r="C43" t="s">
        <v>137</v>
      </c>
      <c r="D43" s="2">
        <v>45954</v>
      </c>
      <c r="E43" t="s">
        <v>169</v>
      </c>
      <c r="F43" t="s">
        <v>44</v>
      </c>
      <c r="G43" t="s">
        <v>170</v>
      </c>
      <c r="H43" s="17">
        <v>100</v>
      </c>
      <c r="L43" t="s">
        <v>141</v>
      </c>
      <c r="M43" t="s">
        <v>38</v>
      </c>
      <c r="N43" t="str">
        <f t="shared" ref="N43:N106" si="1">+CONCATENATE(L43," ",M43," ",E43," ",G43," ",C43)</f>
        <v>PT Tripas TTS ANV8031 Inner Tube18.4-30TR218A AN00237</v>
      </c>
    </row>
    <row r="44" spans="1:14" x14ac:dyDescent="0.25">
      <c r="A44" t="s">
        <v>122</v>
      </c>
      <c r="B44" t="s">
        <v>136</v>
      </c>
      <c r="C44" t="s">
        <v>137</v>
      </c>
      <c r="D44" s="2">
        <v>45954</v>
      </c>
      <c r="E44" t="s">
        <v>171</v>
      </c>
      <c r="F44" t="s">
        <v>172</v>
      </c>
      <c r="G44" t="s">
        <v>173</v>
      </c>
      <c r="H44" s="17">
        <v>100</v>
      </c>
      <c r="L44" t="s">
        <v>141</v>
      </c>
      <c r="M44" t="s">
        <v>38</v>
      </c>
      <c r="N44" t="str">
        <f t="shared" si="1"/>
        <v>PT Tripas TTS ANV8032 Inner Tube18.4-34TR218A AN00237</v>
      </c>
    </row>
    <row r="45" spans="1:14" x14ac:dyDescent="0.25">
      <c r="A45" t="s">
        <v>122</v>
      </c>
      <c r="B45" t="s">
        <v>136</v>
      </c>
      <c r="C45" t="s">
        <v>137</v>
      </c>
      <c r="D45" s="2">
        <v>45954</v>
      </c>
      <c r="E45" t="s">
        <v>174</v>
      </c>
      <c r="F45" t="s">
        <v>175</v>
      </c>
      <c r="G45" t="s">
        <v>176</v>
      </c>
      <c r="H45" s="17">
        <v>100</v>
      </c>
      <c r="L45" t="s">
        <v>141</v>
      </c>
      <c r="M45" t="s">
        <v>38</v>
      </c>
      <c r="N45" t="str">
        <f t="shared" si="1"/>
        <v>PT Tripas TTS ANV8033 Inner Tube23.1-26TR218A AN00237</v>
      </c>
    </row>
    <row r="46" spans="1:14" x14ac:dyDescent="0.25">
      <c r="A46" t="s">
        <v>122</v>
      </c>
      <c r="B46" t="s">
        <v>136</v>
      </c>
      <c r="C46" t="s">
        <v>137</v>
      </c>
      <c r="D46" s="2">
        <v>45954</v>
      </c>
      <c r="E46" t="s">
        <v>177</v>
      </c>
      <c r="F46" t="s">
        <v>40</v>
      </c>
      <c r="G46" t="s">
        <v>178</v>
      </c>
      <c r="H46" s="17">
        <v>100</v>
      </c>
      <c r="L46" t="s">
        <v>141</v>
      </c>
      <c r="M46" t="s">
        <v>38</v>
      </c>
      <c r="N46" t="str">
        <f t="shared" si="1"/>
        <v>PT Tripas TTS ANV8034 Inner Tube23.1-30TR218A AN00237</v>
      </c>
    </row>
    <row r="47" spans="1:14" x14ac:dyDescent="0.25">
      <c r="A47" t="s">
        <v>122</v>
      </c>
      <c r="B47" t="s">
        <v>136</v>
      </c>
      <c r="C47" t="s">
        <v>137</v>
      </c>
      <c r="D47" s="2">
        <v>45954</v>
      </c>
      <c r="E47" t="s">
        <v>179</v>
      </c>
      <c r="F47" t="s">
        <v>180</v>
      </c>
      <c r="G47" t="s">
        <v>181</v>
      </c>
      <c r="H47" s="17">
        <v>100</v>
      </c>
      <c r="L47" t="s">
        <v>141</v>
      </c>
      <c r="M47" t="s">
        <v>38</v>
      </c>
      <c r="N47" t="str">
        <f t="shared" si="1"/>
        <v>PT Tripas TTS ANV8035 Inner Tube23.1-34TR218A AN00237</v>
      </c>
    </row>
    <row r="48" spans="1:14" x14ac:dyDescent="0.25">
      <c r="A48" t="s">
        <v>122</v>
      </c>
      <c r="B48" t="s">
        <v>136</v>
      </c>
      <c r="C48" t="s">
        <v>137</v>
      </c>
      <c r="D48" s="2">
        <v>45954</v>
      </c>
      <c r="E48" t="s">
        <v>182</v>
      </c>
      <c r="F48" t="s">
        <v>139</v>
      </c>
      <c r="G48" t="s">
        <v>183</v>
      </c>
      <c r="H48" s="17">
        <v>720</v>
      </c>
      <c r="L48" t="s">
        <v>184</v>
      </c>
      <c r="M48" t="s">
        <v>37</v>
      </c>
      <c r="N48" t="str">
        <f t="shared" si="1"/>
        <v>PT Protector TDS ANV8100 Flap750-16 AN00237</v>
      </c>
    </row>
    <row r="49" spans="1:14" x14ac:dyDescent="0.25">
      <c r="A49" t="s">
        <v>122</v>
      </c>
      <c r="B49" t="s">
        <v>136</v>
      </c>
      <c r="C49" t="s">
        <v>137</v>
      </c>
      <c r="D49" s="2">
        <v>45954</v>
      </c>
      <c r="E49" t="s">
        <v>185</v>
      </c>
      <c r="F49" t="s">
        <v>146</v>
      </c>
      <c r="G49" t="s">
        <v>186</v>
      </c>
      <c r="H49" s="17">
        <v>400</v>
      </c>
      <c r="L49" t="s">
        <v>184</v>
      </c>
      <c r="M49" t="s">
        <v>38</v>
      </c>
      <c r="N49" t="str">
        <f t="shared" si="1"/>
        <v>PT Protector TTS ANV8101 Flap1200-20 AN00237</v>
      </c>
    </row>
    <row r="50" spans="1:14" x14ac:dyDescent="0.25">
      <c r="A50" t="s">
        <v>122</v>
      </c>
      <c r="B50" t="s">
        <v>136</v>
      </c>
      <c r="C50" t="s">
        <v>137</v>
      </c>
      <c r="D50" s="2">
        <v>45954</v>
      </c>
      <c r="E50" t="s">
        <v>187</v>
      </c>
      <c r="F50" t="s">
        <v>149</v>
      </c>
      <c r="G50" t="s">
        <v>188</v>
      </c>
      <c r="H50" s="17">
        <v>400</v>
      </c>
      <c r="L50" t="s">
        <v>184</v>
      </c>
      <c r="M50" t="s">
        <v>38</v>
      </c>
      <c r="N50" t="str">
        <f t="shared" si="1"/>
        <v>PT Protector TTS ANV8102 Flap1200-24 AN00237</v>
      </c>
    </row>
    <row r="51" spans="1:14" x14ac:dyDescent="0.25">
      <c r="A51" t="s">
        <v>122</v>
      </c>
      <c r="B51" t="s">
        <v>136</v>
      </c>
      <c r="C51" t="s">
        <v>137</v>
      </c>
      <c r="D51" s="2">
        <v>45954</v>
      </c>
      <c r="E51" t="s">
        <v>189</v>
      </c>
      <c r="F51" t="s">
        <v>152</v>
      </c>
      <c r="G51" t="s">
        <v>190</v>
      </c>
      <c r="H51" s="17">
        <v>50</v>
      </c>
      <c r="L51" t="s">
        <v>184</v>
      </c>
      <c r="M51" t="s">
        <v>38</v>
      </c>
      <c r="N51" t="str">
        <f t="shared" si="1"/>
        <v>PT Protector TTS ANV8103 Flap1400-24 AN00237</v>
      </c>
    </row>
    <row r="52" spans="1:14" x14ac:dyDescent="0.25">
      <c r="A52" t="s">
        <v>122</v>
      </c>
      <c r="B52" t="s">
        <v>136</v>
      </c>
      <c r="C52" t="s">
        <v>137</v>
      </c>
      <c r="D52" s="2">
        <v>45954</v>
      </c>
      <c r="E52" t="s">
        <v>191</v>
      </c>
      <c r="F52" t="s">
        <v>155</v>
      </c>
      <c r="G52" t="s">
        <v>192</v>
      </c>
      <c r="H52" s="17">
        <v>40</v>
      </c>
      <c r="L52" t="s">
        <v>184</v>
      </c>
      <c r="M52" t="s">
        <v>38</v>
      </c>
      <c r="N52" t="str">
        <f t="shared" si="1"/>
        <v>PT Protector TTS ANV8104 Flap17.5R25 AN00237</v>
      </c>
    </row>
    <row r="53" spans="1:14" x14ac:dyDescent="0.25">
      <c r="A53" t="s">
        <v>122</v>
      </c>
      <c r="B53" t="s">
        <v>136</v>
      </c>
      <c r="C53" t="s">
        <v>137</v>
      </c>
      <c r="D53" s="2">
        <v>45954</v>
      </c>
      <c r="E53" t="s">
        <v>193</v>
      </c>
      <c r="F53" t="s">
        <v>158</v>
      </c>
      <c r="G53" t="s">
        <v>194</v>
      </c>
      <c r="H53" s="17">
        <v>40</v>
      </c>
      <c r="L53" t="s">
        <v>184</v>
      </c>
      <c r="M53" t="s">
        <v>38</v>
      </c>
      <c r="N53" t="str">
        <f t="shared" si="1"/>
        <v>PT Protector TTS ANV8105 Flap20.5-25 AN00237</v>
      </c>
    </row>
    <row r="54" spans="1:14" x14ac:dyDescent="0.25">
      <c r="A54" t="s">
        <v>122</v>
      </c>
      <c r="B54" t="s">
        <v>136</v>
      </c>
      <c r="C54" t="s">
        <v>137</v>
      </c>
      <c r="D54" s="2">
        <v>45954</v>
      </c>
      <c r="E54" t="s">
        <v>195</v>
      </c>
      <c r="F54" t="s">
        <v>24</v>
      </c>
      <c r="G54" t="s">
        <v>196</v>
      </c>
      <c r="H54" s="17">
        <v>40</v>
      </c>
      <c r="L54" t="s">
        <v>184</v>
      </c>
      <c r="M54" t="s">
        <v>38</v>
      </c>
      <c r="N54" t="str">
        <f t="shared" si="1"/>
        <v>PT Protector TTS ANV8106 Flap23.5-25 AN00237</v>
      </c>
    </row>
    <row r="55" spans="1:14" x14ac:dyDescent="0.25">
      <c r="A55" t="s">
        <v>122</v>
      </c>
      <c r="B55" t="s">
        <v>136</v>
      </c>
      <c r="C55" t="s">
        <v>137</v>
      </c>
      <c r="D55" s="2">
        <v>45954</v>
      </c>
      <c r="E55" t="s">
        <v>197</v>
      </c>
      <c r="F55" t="s">
        <v>163</v>
      </c>
      <c r="G55" t="s">
        <v>198</v>
      </c>
      <c r="H55" s="17">
        <v>20</v>
      </c>
      <c r="L55" t="s">
        <v>184</v>
      </c>
      <c r="M55" t="s">
        <v>38</v>
      </c>
      <c r="N55" t="str">
        <f t="shared" si="1"/>
        <v>PT Protector TTS ANV8107 Flap26.5-25 AN00237</v>
      </c>
    </row>
    <row r="56" spans="1:14" x14ac:dyDescent="0.25">
      <c r="A56" t="s">
        <v>199</v>
      </c>
      <c r="B56" t="s">
        <v>200</v>
      </c>
      <c r="C56" t="s">
        <v>537</v>
      </c>
      <c r="D56" s="2">
        <v>45960</v>
      </c>
      <c r="E56" t="s">
        <v>201</v>
      </c>
      <c r="F56" t="s">
        <v>202</v>
      </c>
      <c r="G56" t="s">
        <v>203</v>
      </c>
      <c r="H56" s="17">
        <v>88</v>
      </c>
      <c r="L56" t="s">
        <v>14</v>
      </c>
      <c r="M56" t="s">
        <v>100</v>
      </c>
      <c r="N56" t="str">
        <f t="shared" si="1"/>
        <v>PT Cauchos LTR ANV9533 LT275/70R17 121R DESTINATION X/T  AN007001</v>
      </c>
    </row>
    <row r="57" spans="1:14" x14ac:dyDescent="0.25">
      <c r="A57" t="s">
        <v>199</v>
      </c>
      <c r="B57" t="s">
        <v>200</v>
      </c>
      <c r="C57" t="s">
        <v>537</v>
      </c>
      <c r="D57" s="2">
        <v>45960</v>
      </c>
      <c r="E57" t="s">
        <v>204</v>
      </c>
      <c r="F57" t="s">
        <v>205</v>
      </c>
      <c r="G57" t="s">
        <v>206</v>
      </c>
      <c r="H57" s="17">
        <v>40</v>
      </c>
      <c r="L57" t="s">
        <v>14</v>
      </c>
      <c r="M57" t="s">
        <v>100</v>
      </c>
      <c r="N57" t="str">
        <f t="shared" si="1"/>
        <v>PT Cauchos LTR ANV9534 LT265/70R18 124S DESTINATION XT AN007001</v>
      </c>
    </row>
    <row r="58" spans="1:14" x14ac:dyDescent="0.25">
      <c r="A58" t="s">
        <v>199</v>
      </c>
      <c r="B58" t="s">
        <v>200</v>
      </c>
      <c r="C58" t="s">
        <v>537</v>
      </c>
      <c r="D58" s="2">
        <v>45960</v>
      </c>
      <c r="E58" t="s">
        <v>207</v>
      </c>
      <c r="F58" t="s">
        <v>208</v>
      </c>
      <c r="G58" t="s">
        <v>209</v>
      </c>
      <c r="H58" s="17">
        <v>60</v>
      </c>
      <c r="L58" t="s">
        <v>14</v>
      </c>
      <c r="M58" t="s">
        <v>100</v>
      </c>
      <c r="N58" t="str">
        <f t="shared" si="1"/>
        <v>PT Cauchos LTR ANV9535 LT275/70R18 125S DESTINATION XT  AN007001</v>
      </c>
    </row>
    <row r="59" spans="1:14" x14ac:dyDescent="0.25">
      <c r="A59" t="s">
        <v>199</v>
      </c>
      <c r="B59" t="s">
        <v>200</v>
      </c>
      <c r="C59" t="s">
        <v>537</v>
      </c>
      <c r="D59" s="2">
        <v>45960</v>
      </c>
      <c r="E59" t="s">
        <v>210</v>
      </c>
      <c r="F59" t="s">
        <v>211</v>
      </c>
      <c r="G59" t="s">
        <v>212</v>
      </c>
      <c r="H59" s="17">
        <v>40</v>
      </c>
      <c r="L59" t="s">
        <v>14</v>
      </c>
      <c r="M59" t="s">
        <v>100</v>
      </c>
      <c r="N59" t="str">
        <f t="shared" si="1"/>
        <v>PT Cauchos LTR ANV9536 LT285/65R18 125R DESTINATION X/T AN007001</v>
      </c>
    </row>
    <row r="60" spans="1:14" x14ac:dyDescent="0.25">
      <c r="A60" t="s">
        <v>199</v>
      </c>
      <c r="B60" t="s">
        <v>200</v>
      </c>
      <c r="C60" t="s">
        <v>537</v>
      </c>
      <c r="D60" s="2">
        <v>45960</v>
      </c>
      <c r="E60" t="s">
        <v>213</v>
      </c>
      <c r="F60" t="s">
        <v>214</v>
      </c>
      <c r="G60" t="s">
        <v>215</v>
      </c>
      <c r="H60" s="17">
        <v>40</v>
      </c>
      <c r="L60" t="s">
        <v>14</v>
      </c>
      <c r="M60" t="s">
        <v>100</v>
      </c>
      <c r="N60" t="str">
        <f t="shared" si="1"/>
        <v>PT Cauchos LTR ANV9542 LT35X12.50R18 123R DESTINATION XT  AN007001</v>
      </c>
    </row>
    <row r="61" spans="1:14" x14ac:dyDescent="0.25">
      <c r="A61" t="s">
        <v>199</v>
      </c>
      <c r="B61" t="s">
        <v>200</v>
      </c>
      <c r="C61" t="s">
        <v>537</v>
      </c>
      <c r="D61" s="2">
        <v>45960</v>
      </c>
      <c r="E61" t="s">
        <v>216</v>
      </c>
      <c r="F61" t="s">
        <v>217</v>
      </c>
      <c r="G61" t="s">
        <v>218</v>
      </c>
      <c r="H61" s="17">
        <v>44</v>
      </c>
      <c r="L61" t="s">
        <v>14</v>
      </c>
      <c r="M61" t="s">
        <v>100</v>
      </c>
      <c r="N61" t="str">
        <f t="shared" si="1"/>
        <v>PT Cauchos LTR ANV9537 LT265/60R20 121S DESTINATION X/T AN007001</v>
      </c>
    </row>
    <row r="62" spans="1:14" x14ac:dyDescent="0.25">
      <c r="A62" t="s">
        <v>199</v>
      </c>
      <c r="B62" t="s">
        <v>200</v>
      </c>
      <c r="C62" t="s">
        <v>537</v>
      </c>
      <c r="D62" s="2">
        <v>45960</v>
      </c>
      <c r="E62" t="s">
        <v>219</v>
      </c>
      <c r="F62" t="s">
        <v>220</v>
      </c>
      <c r="G62" t="s">
        <v>221</v>
      </c>
      <c r="H62" s="17">
        <v>44</v>
      </c>
      <c r="L62" t="s">
        <v>14</v>
      </c>
      <c r="M62" t="s">
        <v>100</v>
      </c>
      <c r="N62" t="str">
        <f t="shared" si="1"/>
        <v>PT Cauchos LTR ANV9538 LT275/55R20 120R DESTINATION X/T AN007001</v>
      </c>
    </row>
    <row r="63" spans="1:14" x14ac:dyDescent="0.25">
      <c r="A63" t="s">
        <v>199</v>
      </c>
      <c r="B63" t="s">
        <v>200</v>
      </c>
      <c r="C63" t="s">
        <v>537</v>
      </c>
      <c r="D63" s="2">
        <v>45960</v>
      </c>
      <c r="E63" t="s">
        <v>222</v>
      </c>
      <c r="F63" t="s">
        <v>223</v>
      </c>
      <c r="G63" t="s">
        <v>224</v>
      </c>
      <c r="H63" s="17">
        <v>60</v>
      </c>
      <c r="L63" t="s">
        <v>14</v>
      </c>
      <c r="M63" t="s">
        <v>100</v>
      </c>
      <c r="N63" t="str">
        <f t="shared" si="1"/>
        <v>PT Cauchos LTR ANV9539 LT275/60R20 123R DESTINATION X/T AN007001</v>
      </c>
    </row>
    <row r="64" spans="1:14" x14ac:dyDescent="0.25">
      <c r="A64" t="s">
        <v>122</v>
      </c>
      <c r="B64" t="s">
        <v>225</v>
      </c>
      <c r="C64" t="s">
        <v>226</v>
      </c>
      <c r="D64" s="2">
        <v>45978</v>
      </c>
      <c r="E64" t="s">
        <v>227</v>
      </c>
      <c r="F64" t="s">
        <v>228</v>
      </c>
      <c r="G64" t="s">
        <v>229</v>
      </c>
      <c r="H64" s="17">
        <v>240</v>
      </c>
      <c r="I64" s="1">
        <v>46019</v>
      </c>
      <c r="J64" s="1">
        <v>46077</v>
      </c>
      <c r="L64" t="s">
        <v>14</v>
      </c>
      <c r="M64" t="s">
        <v>128</v>
      </c>
      <c r="N64" t="str">
        <f t="shared" si="1"/>
        <v>PT Cauchos TBR ANV9014 315/80R22.5 20PR SR168 STEPRISING AN00238-2.0</v>
      </c>
    </row>
    <row r="65" spans="1:14" x14ac:dyDescent="0.25">
      <c r="A65" t="s">
        <v>122</v>
      </c>
      <c r="B65" t="s">
        <v>225</v>
      </c>
      <c r="C65" t="s">
        <v>226</v>
      </c>
      <c r="D65" s="2">
        <v>45978</v>
      </c>
      <c r="E65" t="s">
        <v>230</v>
      </c>
      <c r="F65" t="s">
        <v>228</v>
      </c>
      <c r="G65" t="s">
        <v>231</v>
      </c>
      <c r="H65" s="17">
        <v>240</v>
      </c>
      <c r="I65" s="1">
        <v>46019</v>
      </c>
      <c r="J65" s="1">
        <v>46077</v>
      </c>
      <c r="L65" t="s">
        <v>14</v>
      </c>
      <c r="M65" t="s">
        <v>128</v>
      </c>
      <c r="N65" t="str">
        <f t="shared" si="1"/>
        <v>PT Cauchos TBR ANV9017 315/80R22.5 20PR 156/150M SR198 STEPRISING AN00238-2.0</v>
      </c>
    </row>
    <row r="66" spans="1:14" x14ac:dyDescent="0.25">
      <c r="A66" t="s">
        <v>122</v>
      </c>
      <c r="B66" t="s">
        <v>225</v>
      </c>
      <c r="C66" t="s">
        <v>226</v>
      </c>
      <c r="D66" s="2">
        <v>45978</v>
      </c>
      <c r="E66" t="s">
        <v>232</v>
      </c>
      <c r="F66" t="s">
        <v>233</v>
      </c>
      <c r="G66" t="s">
        <v>234</v>
      </c>
      <c r="H66" s="17">
        <v>200</v>
      </c>
      <c r="I66" s="1">
        <v>46019</v>
      </c>
      <c r="J66" s="1">
        <v>46077</v>
      </c>
      <c r="L66" t="s">
        <v>14</v>
      </c>
      <c r="M66" t="s">
        <v>128</v>
      </c>
      <c r="N66" t="str">
        <f t="shared" si="1"/>
        <v>PT Cauchos TBR ANV9012 12R22.5 18PR 152/149M SR198 STEPRISING AN00238-2.0</v>
      </c>
    </row>
    <row r="67" spans="1:14" x14ac:dyDescent="0.25">
      <c r="A67" t="s">
        <v>122</v>
      </c>
      <c r="B67" t="s">
        <v>225</v>
      </c>
      <c r="C67" t="s">
        <v>226</v>
      </c>
      <c r="D67" s="2">
        <v>45978</v>
      </c>
      <c r="E67" t="s">
        <v>235</v>
      </c>
      <c r="F67" t="s">
        <v>236</v>
      </c>
      <c r="G67" t="s">
        <v>237</v>
      </c>
      <c r="H67" s="17">
        <v>54</v>
      </c>
      <c r="I67" s="1">
        <v>46019</v>
      </c>
      <c r="J67" s="1">
        <v>46077</v>
      </c>
      <c r="L67" t="s">
        <v>14</v>
      </c>
      <c r="M67" t="s">
        <v>128</v>
      </c>
      <c r="N67" t="str">
        <f t="shared" si="1"/>
        <v>PT Cauchos TBR ANV9027 275/70R22.5 18PR SR198 TL STEPPRISING AN00238-2.0</v>
      </c>
    </row>
    <row r="68" spans="1:14" x14ac:dyDescent="0.25">
      <c r="A68" t="s">
        <v>122</v>
      </c>
      <c r="B68" t="s">
        <v>225</v>
      </c>
      <c r="C68" t="s">
        <v>226</v>
      </c>
      <c r="D68" s="2">
        <v>45978</v>
      </c>
      <c r="E68" t="s">
        <v>238</v>
      </c>
      <c r="F68" t="s">
        <v>239</v>
      </c>
      <c r="G68" t="s">
        <v>240</v>
      </c>
      <c r="H68" s="17">
        <v>150</v>
      </c>
      <c r="I68" s="1">
        <v>46019</v>
      </c>
      <c r="J68" s="1">
        <v>46077</v>
      </c>
      <c r="L68" t="s">
        <v>14</v>
      </c>
      <c r="M68" t="s">
        <v>128</v>
      </c>
      <c r="N68" t="str">
        <f t="shared" si="1"/>
        <v>PT Cauchos TBR ANV9016 9.5R17.518PR SR516TL STEPRISING AN00238-2.0</v>
      </c>
    </row>
    <row r="69" spans="1:14" x14ac:dyDescent="0.25">
      <c r="A69" t="s">
        <v>122</v>
      </c>
      <c r="B69" t="s">
        <v>225</v>
      </c>
      <c r="C69" t="s">
        <v>226</v>
      </c>
      <c r="D69" s="2">
        <v>45978</v>
      </c>
      <c r="E69" t="s">
        <v>241</v>
      </c>
      <c r="F69" t="s">
        <v>239</v>
      </c>
      <c r="G69" t="s">
        <v>242</v>
      </c>
      <c r="H69" s="17">
        <v>120</v>
      </c>
      <c r="I69" s="1">
        <v>46019</v>
      </c>
      <c r="J69" s="1">
        <v>46077</v>
      </c>
      <c r="L69" t="s">
        <v>14</v>
      </c>
      <c r="M69" t="s">
        <v>128</v>
      </c>
      <c r="N69" t="str">
        <f t="shared" si="1"/>
        <v>PT Cauchos TBR ANV9022  9.5R17.5  18PR SR518 STEPRISING AN00238-2.0</v>
      </c>
    </row>
    <row r="70" spans="1:14" x14ac:dyDescent="0.25">
      <c r="A70" t="s">
        <v>122</v>
      </c>
      <c r="B70" t="s">
        <v>225</v>
      </c>
      <c r="C70" t="s">
        <v>226</v>
      </c>
      <c r="D70" s="2">
        <v>45978</v>
      </c>
      <c r="E70" t="s">
        <v>243</v>
      </c>
      <c r="F70" t="s">
        <v>239</v>
      </c>
      <c r="G70" t="s">
        <v>244</v>
      </c>
      <c r="H70" s="17">
        <v>20</v>
      </c>
      <c r="I70" s="1">
        <v>46019</v>
      </c>
      <c r="J70" s="1">
        <v>46077</v>
      </c>
      <c r="L70" t="s">
        <v>14</v>
      </c>
      <c r="M70" t="s">
        <v>128</v>
      </c>
      <c r="N70" t="str">
        <f t="shared" si="1"/>
        <v>PT Cauchos TBR ANV9033 9.5R17.5--18PR  SR828 STEPRISING AN00238-2.0</v>
      </c>
    </row>
    <row r="71" spans="1:14" x14ac:dyDescent="0.25">
      <c r="A71" t="s">
        <v>122</v>
      </c>
      <c r="B71" t="s">
        <v>225</v>
      </c>
      <c r="C71" t="s">
        <v>226</v>
      </c>
      <c r="D71" s="2">
        <v>45978</v>
      </c>
      <c r="E71" t="s">
        <v>243</v>
      </c>
      <c r="F71" t="s">
        <v>239</v>
      </c>
      <c r="G71" t="s">
        <v>244</v>
      </c>
      <c r="H71" s="17">
        <v>20</v>
      </c>
      <c r="I71" s="1">
        <v>46019</v>
      </c>
      <c r="J71" s="1">
        <v>46077</v>
      </c>
      <c r="L71" t="s">
        <v>14</v>
      </c>
      <c r="M71" t="s">
        <v>128</v>
      </c>
      <c r="N71" t="str">
        <f t="shared" si="1"/>
        <v>PT Cauchos TBR ANV9033 9.5R17.5--18PR  SR828 STEPRISING AN00238-2.0</v>
      </c>
    </row>
    <row r="72" spans="1:14" x14ac:dyDescent="0.25">
      <c r="A72" t="s">
        <v>122</v>
      </c>
      <c r="B72" t="s">
        <v>225</v>
      </c>
      <c r="C72" t="s">
        <v>226</v>
      </c>
      <c r="D72" s="2">
        <v>45978</v>
      </c>
      <c r="E72" t="s">
        <v>245</v>
      </c>
      <c r="F72" t="s">
        <v>246</v>
      </c>
      <c r="G72" t="s">
        <v>247</v>
      </c>
      <c r="H72" s="17">
        <v>193</v>
      </c>
      <c r="I72" s="1">
        <v>46019</v>
      </c>
      <c r="J72" s="1">
        <v>46077</v>
      </c>
      <c r="L72" t="s">
        <v>14</v>
      </c>
      <c r="M72" t="s">
        <v>128</v>
      </c>
      <c r="N72" t="str">
        <f t="shared" si="1"/>
        <v>PT Cauchos TBR ANV9007 215/75R17. 516PR SR516 TL STEPRISING  AN00238-2.0</v>
      </c>
    </row>
    <row r="73" spans="1:14" x14ac:dyDescent="0.25">
      <c r="A73" t="s">
        <v>122</v>
      </c>
      <c r="B73" t="s">
        <v>225</v>
      </c>
      <c r="C73" t="s">
        <v>226</v>
      </c>
      <c r="D73" s="2">
        <v>45978</v>
      </c>
      <c r="E73" t="s">
        <v>245</v>
      </c>
      <c r="F73" t="s">
        <v>246</v>
      </c>
      <c r="G73" t="s">
        <v>247</v>
      </c>
      <c r="H73" s="17">
        <v>27</v>
      </c>
      <c r="I73" s="1">
        <v>46019</v>
      </c>
      <c r="J73" s="1">
        <v>46077</v>
      </c>
      <c r="L73" t="s">
        <v>14</v>
      </c>
      <c r="M73" t="s">
        <v>128</v>
      </c>
      <c r="N73" t="str">
        <f t="shared" si="1"/>
        <v>PT Cauchos TBR ANV9007 215/75R17. 516PR SR516 TL STEPRISING  AN00238-2.0</v>
      </c>
    </row>
    <row r="74" spans="1:14" x14ac:dyDescent="0.25">
      <c r="A74" t="s">
        <v>122</v>
      </c>
      <c r="B74" t="s">
        <v>225</v>
      </c>
      <c r="C74" t="s">
        <v>226</v>
      </c>
      <c r="D74" s="2">
        <v>45978</v>
      </c>
      <c r="E74" t="s">
        <v>235</v>
      </c>
      <c r="F74" t="s">
        <v>236</v>
      </c>
      <c r="G74" t="s">
        <v>237</v>
      </c>
      <c r="H74" s="17">
        <v>25</v>
      </c>
      <c r="I74" s="1">
        <v>46019</v>
      </c>
      <c r="J74" s="1">
        <v>46077</v>
      </c>
      <c r="L74" t="s">
        <v>14</v>
      </c>
      <c r="M74" t="s">
        <v>128</v>
      </c>
      <c r="N74" t="str">
        <f t="shared" si="1"/>
        <v>PT Cauchos TBR ANV9027 275/70R22.5 18PR SR198 TL STEPPRISING AN00238-2.0</v>
      </c>
    </row>
    <row r="75" spans="1:14" x14ac:dyDescent="0.25">
      <c r="A75" t="s">
        <v>122</v>
      </c>
      <c r="B75" t="s">
        <v>248</v>
      </c>
      <c r="C75" t="s">
        <v>249</v>
      </c>
      <c r="D75" s="2">
        <v>45978</v>
      </c>
      <c r="E75" t="s">
        <v>250</v>
      </c>
      <c r="F75" t="s">
        <v>233</v>
      </c>
      <c r="G75" t="s">
        <v>251</v>
      </c>
      <c r="H75" s="17">
        <v>65</v>
      </c>
      <c r="I75" s="1">
        <v>46019</v>
      </c>
      <c r="J75" s="1">
        <v>46071</v>
      </c>
      <c r="L75" t="s">
        <v>14</v>
      </c>
      <c r="M75" t="s">
        <v>128</v>
      </c>
      <c r="N75" t="str">
        <f t="shared" si="1"/>
        <v>PT Cauchos TBR ANV9011 12R22.5 18PR SR168 STEPRISING AN00238-2.1</v>
      </c>
    </row>
    <row r="76" spans="1:14" x14ac:dyDescent="0.25">
      <c r="A76" t="s">
        <v>122</v>
      </c>
      <c r="B76" t="s">
        <v>248</v>
      </c>
      <c r="C76" t="s">
        <v>249</v>
      </c>
      <c r="D76" s="2">
        <v>45978</v>
      </c>
      <c r="E76" t="s">
        <v>235</v>
      </c>
      <c r="F76" t="s">
        <v>236</v>
      </c>
      <c r="G76" t="s">
        <v>237</v>
      </c>
      <c r="H76" s="17">
        <v>107</v>
      </c>
      <c r="I76" s="1">
        <v>46019</v>
      </c>
      <c r="J76" s="1">
        <v>46071</v>
      </c>
      <c r="L76" t="s">
        <v>14</v>
      </c>
      <c r="M76" t="s">
        <v>128</v>
      </c>
      <c r="N76" t="str">
        <f t="shared" si="1"/>
        <v>PT Cauchos TBR ANV9027 275/70R22.5 18PR SR198 TL STEPPRISING AN00238-2.1</v>
      </c>
    </row>
    <row r="77" spans="1:14" x14ac:dyDescent="0.25">
      <c r="A77" t="s">
        <v>122</v>
      </c>
      <c r="B77" t="s">
        <v>248</v>
      </c>
      <c r="C77" t="s">
        <v>249</v>
      </c>
      <c r="D77" s="2">
        <v>45978</v>
      </c>
      <c r="E77" t="s">
        <v>230</v>
      </c>
      <c r="F77" t="s">
        <v>228</v>
      </c>
      <c r="G77" t="s">
        <v>231</v>
      </c>
      <c r="H77" s="17">
        <v>60</v>
      </c>
      <c r="I77" s="1">
        <v>46019</v>
      </c>
      <c r="J77" s="1">
        <v>46071</v>
      </c>
      <c r="L77" t="s">
        <v>14</v>
      </c>
      <c r="M77" t="s">
        <v>128</v>
      </c>
      <c r="N77" t="str">
        <f t="shared" si="1"/>
        <v>PT Cauchos TBR ANV9017 315/80R22.5 20PR 156/150M SR198 STEPRISING AN00238-2.1</v>
      </c>
    </row>
    <row r="78" spans="1:14" x14ac:dyDescent="0.25">
      <c r="A78" t="s">
        <v>122</v>
      </c>
      <c r="B78" t="s">
        <v>248</v>
      </c>
      <c r="C78" t="s">
        <v>249</v>
      </c>
      <c r="D78" s="2">
        <v>45978</v>
      </c>
      <c r="E78" t="s">
        <v>227</v>
      </c>
      <c r="F78" t="s">
        <v>228</v>
      </c>
      <c r="G78" t="s">
        <v>229</v>
      </c>
      <c r="H78" s="17">
        <v>10</v>
      </c>
      <c r="I78" s="1">
        <v>46019</v>
      </c>
      <c r="J78" s="1">
        <v>46071</v>
      </c>
      <c r="L78" t="s">
        <v>14</v>
      </c>
      <c r="M78" t="s">
        <v>128</v>
      </c>
      <c r="N78" t="str">
        <f t="shared" si="1"/>
        <v>PT Cauchos TBR ANV9014 315/80R22.5 20PR SR168 STEPRISING AN00238-2.1</v>
      </c>
    </row>
    <row r="79" spans="1:14" x14ac:dyDescent="0.25">
      <c r="A79" t="s">
        <v>122</v>
      </c>
      <c r="B79" t="s">
        <v>248</v>
      </c>
      <c r="C79" t="s">
        <v>249</v>
      </c>
      <c r="D79" s="2">
        <v>45978</v>
      </c>
      <c r="E79" t="s">
        <v>252</v>
      </c>
      <c r="F79" t="s">
        <v>253</v>
      </c>
      <c r="G79" t="s">
        <v>254</v>
      </c>
      <c r="H79" s="17">
        <v>20</v>
      </c>
      <c r="I79" s="1">
        <v>46019</v>
      </c>
      <c r="J79" s="1">
        <v>46071</v>
      </c>
      <c r="L79" t="s">
        <v>14</v>
      </c>
      <c r="M79" t="s">
        <v>128</v>
      </c>
      <c r="N79" t="str">
        <f t="shared" si="1"/>
        <v>PT Cauchos TBR ANV9043  12.00R24 20PR SR298 AN00238-2.1</v>
      </c>
    </row>
    <row r="80" spans="1:14" x14ac:dyDescent="0.25">
      <c r="A80" t="s">
        <v>122</v>
      </c>
      <c r="B80" t="s">
        <v>248</v>
      </c>
      <c r="C80" t="s">
        <v>249</v>
      </c>
      <c r="D80" s="2">
        <v>45978</v>
      </c>
      <c r="E80" t="s">
        <v>235</v>
      </c>
      <c r="F80" t="s">
        <v>236</v>
      </c>
      <c r="G80" t="s">
        <v>237</v>
      </c>
      <c r="H80" s="17">
        <v>64</v>
      </c>
      <c r="I80" s="1">
        <v>46019</v>
      </c>
      <c r="J80" s="1">
        <v>46071</v>
      </c>
      <c r="L80" t="s">
        <v>14</v>
      </c>
      <c r="M80" t="s">
        <v>128</v>
      </c>
      <c r="N80" t="str">
        <f t="shared" si="1"/>
        <v>PT Cauchos TBR ANV9027 275/70R22.5 18PR SR198 TL STEPPRISING AN00238-2.1</v>
      </c>
    </row>
    <row r="81" spans="1:14" x14ac:dyDescent="0.25">
      <c r="A81" t="s">
        <v>122</v>
      </c>
      <c r="B81" t="s">
        <v>248</v>
      </c>
      <c r="C81" t="s">
        <v>249</v>
      </c>
      <c r="D81" s="2">
        <v>45978</v>
      </c>
      <c r="E81" t="s">
        <v>132</v>
      </c>
      <c r="F81" t="s">
        <v>133</v>
      </c>
      <c r="G81" t="s">
        <v>134</v>
      </c>
      <c r="H81" s="17">
        <v>210</v>
      </c>
      <c r="I81" s="1">
        <v>46019</v>
      </c>
      <c r="J81" s="1">
        <v>46071</v>
      </c>
      <c r="L81" t="s">
        <v>14</v>
      </c>
      <c r="M81" t="s">
        <v>128</v>
      </c>
      <c r="N81" t="str">
        <f t="shared" si="1"/>
        <v>PT Cauchos TBR ANV9013 295/80R22.5 18PR SR198 STEPRISING AN00238-2.1</v>
      </c>
    </row>
    <row r="82" spans="1:14" x14ac:dyDescent="0.25">
      <c r="A82" t="s">
        <v>255</v>
      </c>
      <c r="C82" t="s">
        <v>256</v>
      </c>
      <c r="D82" s="2">
        <v>45980</v>
      </c>
      <c r="E82" t="s">
        <v>257</v>
      </c>
      <c r="F82" s="16" t="s">
        <v>258</v>
      </c>
      <c r="G82" s="16" t="s">
        <v>259</v>
      </c>
      <c r="H82" s="19">
        <v>12</v>
      </c>
      <c r="L82" t="s">
        <v>14</v>
      </c>
      <c r="M82" t="s">
        <v>260</v>
      </c>
      <c r="N82" t="str">
        <f t="shared" si="1"/>
        <v>PT Cauchos ORR ANV9401 23.5R25  CB763  E-4/L-4  185B/201A2  ★★ CHAOYANG AN00801</v>
      </c>
    </row>
    <row r="83" spans="1:14" x14ac:dyDescent="0.25">
      <c r="A83" t="s">
        <v>255</v>
      </c>
      <c r="C83" t="s">
        <v>256</v>
      </c>
      <c r="D83" s="2">
        <v>45980</v>
      </c>
      <c r="E83" t="s">
        <v>261</v>
      </c>
      <c r="F83" s="16" t="s">
        <v>262</v>
      </c>
      <c r="G83" s="16" t="s">
        <v>263</v>
      </c>
      <c r="H83" s="19">
        <v>8</v>
      </c>
      <c r="L83" t="s">
        <v>14</v>
      </c>
      <c r="M83" t="s">
        <v>260</v>
      </c>
      <c r="N83" t="str">
        <f t="shared" si="1"/>
        <v>PT Cauchos ORR ANV9402 24.00R35 CB771 E-4 212B ★★★ CHAOYANG AN00801</v>
      </c>
    </row>
    <row r="84" spans="1:14" x14ac:dyDescent="0.25">
      <c r="A84" t="s">
        <v>255</v>
      </c>
      <c r="C84" t="s">
        <v>256</v>
      </c>
      <c r="D84" s="2">
        <v>45980</v>
      </c>
      <c r="E84" t="s">
        <v>264</v>
      </c>
      <c r="F84" t="s">
        <v>265</v>
      </c>
      <c r="G84" t="s">
        <v>266</v>
      </c>
      <c r="H84" s="17">
        <v>6</v>
      </c>
      <c r="L84" t="s">
        <v>14</v>
      </c>
      <c r="M84" t="s">
        <v>260</v>
      </c>
      <c r="N84" t="str">
        <f t="shared" si="1"/>
        <v>PT Cauchos ORR ANV9403 26.5R25 CB763 E-4/L-4 193B/209A2 ★★ CHAOYANG AN00801</v>
      </c>
    </row>
    <row r="85" spans="1:14" x14ac:dyDescent="0.25">
      <c r="A85" t="s">
        <v>255</v>
      </c>
      <c r="C85" t="s">
        <v>256</v>
      </c>
      <c r="D85" s="2">
        <v>45980</v>
      </c>
      <c r="E85" t="s">
        <v>267</v>
      </c>
      <c r="F85" t="s">
        <v>268</v>
      </c>
      <c r="G85" t="s">
        <v>269</v>
      </c>
      <c r="H85" s="17">
        <v>6</v>
      </c>
      <c r="L85" t="s">
        <v>14</v>
      </c>
      <c r="M85" t="s">
        <v>260</v>
      </c>
      <c r="N85" t="str">
        <f t="shared" si="1"/>
        <v>PT Cauchos ORR ANV9404 27.00R49 CB788 E-4 223B ★★ CHAOYANG AN00801</v>
      </c>
    </row>
    <row r="86" spans="1:14" x14ac:dyDescent="0.25">
      <c r="A86" t="s">
        <v>255</v>
      </c>
      <c r="C86" t="s">
        <v>256</v>
      </c>
      <c r="D86" s="2">
        <v>45980</v>
      </c>
      <c r="E86" t="s">
        <v>270</v>
      </c>
      <c r="F86" s="16" t="s">
        <v>271</v>
      </c>
      <c r="G86" s="16" t="s">
        <v>272</v>
      </c>
      <c r="H86" s="19">
        <v>8</v>
      </c>
      <c r="L86" t="s">
        <v>14</v>
      </c>
      <c r="M86" t="s">
        <v>260</v>
      </c>
      <c r="N86" t="str">
        <f t="shared" si="1"/>
        <v>PT Cauchos ORR ANV9405 29.5R25 CB763/WR04 E-4/L-4 200B/216A2 ★★ CHAOYANG AN00801</v>
      </c>
    </row>
    <row r="87" spans="1:14" x14ac:dyDescent="0.25">
      <c r="A87" t="s">
        <v>255</v>
      </c>
      <c r="C87" t="s">
        <v>256</v>
      </c>
      <c r="D87" s="2">
        <v>45980</v>
      </c>
      <c r="E87" t="s">
        <v>273</v>
      </c>
      <c r="F87" s="16" t="s">
        <v>274</v>
      </c>
      <c r="G87" s="16" t="s">
        <v>275</v>
      </c>
      <c r="H87" s="19">
        <v>6</v>
      </c>
      <c r="L87" t="s">
        <v>14</v>
      </c>
      <c r="M87" t="s">
        <v>260</v>
      </c>
      <c r="N87" t="str">
        <f t="shared" si="1"/>
        <v>PT Cauchos ORR ANV9406 35/65R33 CB790 L-5 229A2 ★★★ CHAOYANG AN00801</v>
      </c>
    </row>
    <row r="88" spans="1:14" x14ac:dyDescent="0.25">
      <c r="A88" t="s">
        <v>255</v>
      </c>
      <c r="C88" t="s">
        <v>256</v>
      </c>
      <c r="D88" s="2">
        <v>45980</v>
      </c>
      <c r="E88" t="s">
        <v>276</v>
      </c>
      <c r="F88" s="16" t="s">
        <v>277</v>
      </c>
      <c r="G88" s="16" t="s">
        <v>278</v>
      </c>
      <c r="H88" s="19">
        <v>30</v>
      </c>
      <c r="L88" t="s">
        <v>14</v>
      </c>
      <c r="M88" s="15" t="s">
        <v>260</v>
      </c>
      <c r="N88" t="str">
        <f t="shared" si="1"/>
        <v>PT Cauchos ORR ANV9407 16×5×10 1/2[TR] TR PressOn  CHAOYANG AN00801</v>
      </c>
    </row>
    <row r="89" spans="1:14" x14ac:dyDescent="0.25">
      <c r="A89" t="s">
        <v>255</v>
      </c>
      <c r="C89" t="s">
        <v>256</v>
      </c>
      <c r="D89" s="2">
        <v>45980</v>
      </c>
      <c r="E89" t="s">
        <v>279</v>
      </c>
      <c r="F89" t="s">
        <v>280</v>
      </c>
      <c r="G89" t="s">
        <v>281</v>
      </c>
      <c r="H89" s="17">
        <v>30</v>
      </c>
      <c r="L89" t="s">
        <v>14</v>
      </c>
      <c r="M89" s="15" t="s">
        <v>260</v>
      </c>
      <c r="N89" t="str">
        <f t="shared" si="1"/>
        <v>PT Cauchos ORR ANV9408 21×7×15[TR] TR PressOn  CHAOYANG AN00801</v>
      </c>
    </row>
    <row r="90" spans="1:14" x14ac:dyDescent="0.25">
      <c r="A90" t="s">
        <v>255</v>
      </c>
      <c r="C90" t="s">
        <v>256</v>
      </c>
      <c r="D90" s="2">
        <v>45980</v>
      </c>
      <c r="E90" t="s">
        <v>282</v>
      </c>
      <c r="F90" t="s">
        <v>283</v>
      </c>
      <c r="G90" t="s">
        <v>284</v>
      </c>
      <c r="H90" s="17">
        <v>30</v>
      </c>
      <c r="L90" t="s">
        <v>14</v>
      </c>
      <c r="M90" s="15" t="s">
        <v>260</v>
      </c>
      <c r="N90" t="str">
        <f t="shared" si="1"/>
        <v>PT Cauchos ORR ANV9409 5.00-8/3.0R CL403S CL403S Resilent  CHAOYANG AN00801</v>
      </c>
    </row>
    <row r="91" spans="1:14" x14ac:dyDescent="0.25">
      <c r="A91" t="s">
        <v>255</v>
      </c>
      <c r="C91" t="s">
        <v>256</v>
      </c>
      <c r="D91" s="2">
        <v>45980</v>
      </c>
      <c r="E91" t="s">
        <v>285</v>
      </c>
      <c r="F91" s="16" t="s">
        <v>286</v>
      </c>
      <c r="G91" s="16" t="s">
        <v>287</v>
      </c>
      <c r="H91" s="19">
        <v>30</v>
      </c>
      <c r="L91" t="s">
        <v>14</v>
      </c>
      <c r="M91" s="15" t="s">
        <v>260</v>
      </c>
      <c r="N91" t="str">
        <f t="shared" si="1"/>
        <v>PT Cauchos ORR ANV9410 6.00-9/4.0R CL403S CL403S Resilent  CHAOYANG AN00801</v>
      </c>
    </row>
    <row r="92" spans="1:14" x14ac:dyDescent="0.25">
      <c r="A92" t="s">
        <v>255</v>
      </c>
      <c r="C92" t="s">
        <v>256</v>
      </c>
      <c r="D92" s="2">
        <v>45980</v>
      </c>
      <c r="E92" t="s">
        <v>288</v>
      </c>
      <c r="F92" t="s">
        <v>289</v>
      </c>
      <c r="G92" t="s">
        <v>290</v>
      </c>
      <c r="H92" s="17">
        <v>30</v>
      </c>
      <c r="L92" t="s">
        <v>14</v>
      </c>
      <c r="M92" s="15" t="s">
        <v>260</v>
      </c>
      <c r="N92" t="str">
        <f t="shared" si="1"/>
        <v>PT Cauchos ORR ANV9411 7.00-12/5.0R CL403S CL403S Resilent  CHAOYANG AN00801</v>
      </c>
    </row>
    <row r="93" spans="1:14" x14ac:dyDescent="0.25">
      <c r="A93" t="s">
        <v>255</v>
      </c>
      <c r="C93" t="s">
        <v>256</v>
      </c>
      <c r="D93" s="2">
        <v>45980</v>
      </c>
      <c r="E93" t="s">
        <v>291</v>
      </c>
      <c r="F93" s="16" t="s">
        <v>292</v>
      </c>
      <c r="G93" s="16" t="s">
        <v>293</v>
      </c>
      <c r="H93" s="19">
        <v>30</v>
      </c>
      <c r="L93" t="s">
        <v>14</v>
      </c>
      <c r="M93" s="15" t="s">
        <v>260</v>
      </c>
      <c r="N93" t="str">
        <f t="shared" si="1"/>
        <v>PT Cauchos ORR ANV9412 28×9-15/6.5R CL403S CL403S Resilent  CHAOYANG AN00801</v>
      </c>
    </row>
    <row r="94" spans="1:14" x14ac:dyDescent="0.25">
      <c r="A94" t="s">
        <v>255</v>
      </c>
      <c r="C94" t="s">
        <v>256</v>
      </c>
      <c r="D94" s="2">
        <v>45980</v>
      </c>
      <c r="E94" t="s">
        <v>294</v>
      </c>
      <c r="F94" s="16" t="s">
        <v>295</v>
      </c>
      <c r="G94" s="16" t="s">
        <v>296</v>
      </c>
      <c r="H94" s="19">
        <v>20</v>
      </c>
      <c r="L94" t="s">
        <v>14</v>
      </c>
      <c r="M94" s="15" t="s">
        <v>260</v>
      </c>
      <c r="N94" t="str">
        <f t="shared" si="1"/>
        <v>PT Cauchos ORR ANV9413 7.00-15/5.5R CL403S CL403S Resilent  CHAOYANG AN00801</v>
      </c>
    </row>
    <row r="95" spans="1:14" x14ac:dyDescent="0.25">
      <c r="A95" t="s">
        <v>255</v>
      </c>
      <c r="C95" t="s">
        <v>256</v>
      </c>
      <c r="D95" s="2">
        <v>45980</v>
      </c>
      <c r="E95" t="s">
        <v>297</v>
      </c>
      <c r="F95" t="s">
        <v>298</v>
      </c>
      <c r="G95" t="s">
        <v>299</v>
      </c>
      <c r="H95" s="17">
        <v>20</v>
      </c>
      <c r="L95" t="s">
        <v>14</v>
      </c>
      <c r="M95" s="15" t="s">
        <v>260</v>
      </c>
      <c r="N95" t="str">
        <f t="shared" si="1"/>
        <v>PT Cauchos ORR ANV9414 8.25-15/5.5R CL403S CL403S Resilent  CHAOYANG AN00801</v>
      </c>
    </row>
    <row r="96" spans="1:14" x14ac:dyDescent="0.25">
      <c r="A96" t="s">
        <v>255</v>
      </c>
      <c r="C96" t="s">
        <v>256</v>
      </c>
      <c r="D96" s="2">
        <v>45980</v>
      </c>
      <c r="E96" t="s">
        <v>300</v>
      </c>
      <c r="F96" s="16" t="s">
        <v>301</v>
      </c>
      <c r="G96" s="16" t="s">
        <v>302</v>
      </c>
      <c r="H96" s="19">
        <v>30</v>
      </c>
      <c r="L96" t="s">
        <v>14</v>
      </c>
      <c r="M96" s="15" t="s">
        <v>260</v>
      </c>
      <c r="N96" t="str">
        <f t="shared" si="1"/>
        <v>PT Cauchos ORR ANV9415 16×6×10 1/2[TR] TR PressOn  CHAOYANG AN00801</v>
      </c>
    </row>
    <row r="97" spans="1:14" x14ac:dyDescent="0.25">
      <c r="A97" t="s">
        <v>122</v>
      </c>
      <c r="B97" t="s">
        <v>303</v>
      </c>
      <c r="C97" t="s">
        <v>304</v>
      </c>
      <c r="D97" s="2">
        <v>46006</v>
      </c>
      <c r="E97" t="s">
        <v>305</v>
      </c>
      <c r="F97" t="s">
        <v>306</v>
      </c>
      <c r="G97" t="s">
        <v>307</v>
      </c>
      <c r="H97" s="17">
        <v>520</v>
      </c>
      <c r="I97" s="1">
        <v>46027</v>
      </c>
      <c r="J97" s="1">
        <v>46075</v>
      </c>
      <c r="L97" t="s">
        <v>14</v>
      </c>
      <c r="M97" t="s">
        <v>100</v>
      </c>
      <c r="N97" t="str">
        <f t="shared" si="1"/>
        <v>PT Cauchos LTR ANV1901 LT265/75R16 123/120R  ALIX  IMPACT A/T PLUS AN00901</v>
      </c>
    </row>
    <row r="98" spans="1:14" x14ac:dyDescent="0.25">
      <c r="A98" t="s">
        <v>122</v>
      </c>
      <c r="B98" t="s">
        <v>308</v>
      </c>
      <c r="C98" t="s">
        <v>309</v>
      </c>
      <c r="D98" s="2">
        <v>46009</v>
      </c>
      <c r="E98" t="s">
        <v>310</v>
      </c>
      <c r="F98" t="s">
        <v>311</v>
      </c>
      <c r="G98" t="s">
        <v>312</v>
      </c>
      <c r="H98" s="17">
        <v>200</v>
      </c>
      <c r="L98" t="s">
        <v>14</v>
      </c>
      <c r="M98" t="s">
        <v>128</v>
      </c>
      <c r="N98" t="str">
        <f t="shared" si="1"/>
        <v>PT Cauchos TBR ANV9053 7.50R16LT 16PR SR168 AN00239</v>
      </c>
    </row>
    <row r="99" spans="1:14" x14ac:dyDescent="0.25">
      <c r="A99" t="s">
        <v>122</v>
      </c>
      <c r="B99" t="s">
        <v>308</v>
      </c>
      <c r="C99" t="s">
        <v>309</v>
      </c>
      <c r="D99" s="2">
        <v>46009</v>
      </c>
      <c r="E99" t="s">
        <v>238</v>
      </c>
      <c r="F99" t="s">
        <v>239</v>
      </c>
      <c r="G99" t="s">
        <v>240</v>
      </c>
      <c r="H99" s="17">
        <v>100</v>
      </c>
      <c r="L99" t="s">
        <v>14</v>
      </c>
      <c r="M99" t="s">
        <v>128</v>
      </c>
      <c r="N99" t="str">
        <f t="shared" si="1"/>
        <v>PT Cauchos TBR ANV9016 9.5R17.518PR SR516TL STEPRISING AN00239</v>
      </c>
    </row>
    <row r="100" spans="1:14" x14ac:dyDescent="0.25">
      <c r="A100" t="s">
        <v>122</v>
      </c>
      <c r="B100" t="s">
        <v>308</v>
      </c>
      <c r="C100" t="s">
        <v>309</v>
      </c>
      <c r="D100" s="2">
        <v>46009</v>
      </c>
      <c r="E100" t="s">
        <v>241</v>
      </c>
      <c r="F100" t="s">
        <v>239</v>
      </c>
      <c r="G100" t="s">
        <v>242</v>
      </c>
      <c r="H100" s="17">
        <v>200</v>
      </c>
      <c r="L100" t="s">
        <v>14</v>
      </c>
      <c r="M100" t="s">
        <v>128</v>
      </c>
      <c r="N100" t="str">
        <f t="shared" si="1"/>
        <v>PT Cauchos TBR ANV9022  9.5R17.5  18PR SR518 STEPRISING AN00239</v>
      </c>
    </row>
    <row r="101" spans="1:14" x14ac:dyDescent="0.25">
      <c r="A101" t="s">
        <v>122</v>
      </c>
      <c r="B101" t="s">
        <v>308</v>
      </c>
      <c r="C101" t="s">
        <v>309</v>
      </c>
      <c r="D101" s="2">
        <v>46009</v>
      </c>
      <c r="E101" t="s">
        <v>243</v>
      </c>
      <c r="F101" t="s">
        <v>239</v>
      </c>
      <c r="G101" t="s">
        <v>244</v>
      </c>
      <c r="H101" s="17">
        <v>400</v>
      </c>
      <c r="L101" t="s">
        <v>14</v>
      </c>
      <c r="M101" t="s">
        <v>128</v>
      </c>
      <c r="N101" t="str">
        <f t="shared" si="1"/>
        <v>PT Cauchos TBR ANV9033 9.5R17.5--18PR  SR828 STEPRISING AN00239</v>
      </c>
    </row>
    <row r="102" spans="1:14" x14ac:dyDescent="0.25">
      <c r="A102" t="s">
        <v>122</v>
      </c>
      <c r="B102" t="s">
        <v>308</v>
      </c>
      <c r="C102" t="s">
        <v>309</v>
      </c>
      <c r="D102" s="2">
        <v>46009</v>
      </c>
      <c r="E102" t="s">
        <v>245</v>
      </c>
      <c r="F102" t="s">
        <v>246</v>
      </c>
      <c r="G102" t="s">
        <v>247</v>
      </c>
      <c r="H102" s="17">
        <v>100</v>
      </c>
      <c r="L102" t="s">
        <v>14</v>
      </c>
      <c r="M102" t="s">
        <v>128</v>
      </c>
      <c r="N102" t="str">
        <f t="shared" si="1"/>
        <v>PT Cauchos TBR ANV9007 215/75R17. 516PR SR516 TL STEPRISING  AN00239</v>
      </c>
    </row>
    <row r="103" spans="1:14" x14ac:dyDescent="0.25">
      <c r="A103" t="s">
        <v>122</v>
      </c>
      <c r="B103" t="s">
        <v>308</v>
      </c>
      <c r="C103" t="s">
        <v>309</v>
      </c>
      <c r="D103" s="2">
        <v>46009</v>
      </c>
      <c r="E103" t="s">
        <v>313</v>
      </c>
      <c r="F103" t="s">
        <v>314</v>
      </c>
      <c r="G103" t="s">
        <v>315</v>
      </c>
      <c r="H103" s="17">
        <v>40</v>
      </c>
      <c r="L103" t="s">
        <v>14</v>
      </c>
      <c r="M103" t="s">
        <v>128</v>
      </c>
      <c r="N103" t="str">
        <f t="shared" si="1"/>
        <v>PT Cauchos TBR ANV9037 215/75R17.5 16PR  SR518 STEPRISING AN00239</v>
      </c>
    </row>
    <row r="104" spans="1:14" x14ac:dyDescent="0.25">
      <c r="A104" t="s">
        <v>122</v>
      </c>
      <c r="B104" t="s">
        <v>308</v>
      </c>
      <c r="C104" t="s">
        <v>309</v>
      </c>
      <c r="D104" s="2">
        <v>46009</v>
      </c>
      <c r="E104" t="s">
        <v>316</v>
      </c>
      <c r="F104" t="s">
        <v>317</v>
      </c>
      <c r="G104" t="s">
        <v>318</v>
      </c>
      <c r="H104" s="17">
        <v>180</v>
      </c>
      <c r="L104" t="s">
        <v>14</v>
      </c>
      <c r="M104" t="s">
        <v>128</v>
      </c>
      <c r="N104" t="str">
        <f t="shared" si="1"/>
        <v>PT Cauchos TBR ANV9008 235/75R17.516PR SR516 TL STEPRISING  AN00239</v>
      </c>
    </row>
    <row r="105" spans="1:14" x14ac:dyDescent="0.25">
      <c r="A105" t="s">
        <v>122</v>
      </c>
      <c r="B105" t="s">
        <v>308</v>
      </c>
      <c r="C105" t="s">
        <v>309</v>
      </c>
      <c r="D105" s="2">
        <v>46009</v>
      </c>
      <c r="E105" t="s">
        <v>319</v>
      </c>
      <c r="F105" t="s">
        <v>320</v>
      </c>
      <c r="G105" t="s">
        <v>321</v>
      </c>
      <c r="H105" s="17">
        <v>20</v>
      </c>
      <c r="L105" t="s">
        <v>14</v>
      </c>
      <c r="M105" t="s">
        <v>128</v>
      </c>
      <c r="N105" t="str">
        <f t="shared" si="1"/>
        <v>PT Cauchos TBR ANV9044 265/70R19.5 18PR SR516 AN00239</v>
      </c>
    </row>
    <row r="106" spans="1:14" x14ac:dyDescent="0.25">
      <c r="A106" t="s">
        <v>122</v>
      </c>
      <c r="B106" t="s">
        <v>308</v>
      </c>
      <c r="C106" t="s">
        <v>309</v>
      </c>
      <c r="D106" s="2">
        <v>46009</v>
      </c>
      <c r="E106" t="s">
        <v>322</v>
      </c>
      <c r="F106" t="s">
        <v>323</v>
      </c>
      <c r="G106" t="s">
        <v>324</v>
      </c>
      <c r="H106" s="17">
        <v>560</v>
      </c>
      <c r="L106" t="s">
        <v>14</v>
      </c>
      <c r="M106" t="s">
        <v>128</v>
      </c>
      <c r="N106" t="str">
        <f t="shared" si="1"/>
        <v>PT Cauchos TBR ANV9006 8.25R20 16PR SR168 TT SET STEPRISING  AN00239</v>
      </c>
    </row>
    <row r="107" spans="1:14" x14ac:dyDescent="0.25">
      <c r="A107" t="s">
        <v>122</v>
      </c>
      <c r="B107" t="s">
        <v>308</v>
      </c>
      <c r="C107" t="s">
        <v>309</v>
      </c>
      <c r="D107" s="2">
        <v>46009</v>
      </c>
      <c r="E107" t="s">
        <v>325</v>
      </c>
      <c r="F107" t="s">
        <v>326</v>
      </c>
      <c r="G107" t="s">
        <v>327</v>
      </c>
      <c r="H107" s="17">
        <v>40</v>
      </c>
      <c r="L107" t="s">
        <v>14</v>
      </c>
      <c r="M107" t="s">
        <v>128</v>
      </c>
      <c r="N107" t="str">
        <f t="shared" ref="N107:N170" si="2">+CONCATENATE(L107," ",M107," ",E107," ",G107," ",C107)</f>
        <v>PT Cauchos TBR ANV9019 9.00R20 16PR SR168 TT SET STEPRISING AN00239</v>
      </c>
    </row>
    <row r="108" spans="1:14" x14ac:dyDescent="0.25">
      <c r="A108" t="s">
        <v>122</v>
      </c>
      <c r="B108" t="s">
        <v>308</v>
      </c>
      <c r="C108" t="s">
        <v>309</v>
      </c>
      <c r="D108" s="2">
        <v>46009</v>
      </c>
      <c r="E108" t="s">
        <v>328</v>
      </c>
      <c r="F108" t="s">
        <v>329</v>
      </c>
      <c r="G108" t="s">
        <v>330</v>
      </c>
      <c r="H108" s="17">
        <v>120</v>
      </c>
      <c r="L108" t="s">
        <v>14</v>
      </c>
      <c r="M108" t="s">
        <v>128</v>
      </c>
      <c r="N108" t="str">
        <f t="shared" si="2"/>
        <v>PT Cauchos TBR ANV9020 11.00R20 18PR SR168 TT SET STEPRISING AN00239</v>
      </c>
    </row>
    <row r="109" spans="1:14" x14ac:dyDescent="0.25">
      <c r="A109" t="s">
        <v>122</v>
      </c>
      <c r="B109" t="s">
        <v>308</v>
      </c>
      <c r="C109" t="s">
        <v>309</v>
      </c>
      <c r="D109" s="2">
        <v>46009</v>
      </c>
      <c r="E109" t="s">
        <v>331</v>
      </c>
      <c r="F109" t="s">
        <v>332</v>
      </c>
      <c r="G109" t="s">
        <v>333</v>
      </c>
      <c r="H109" s="17">
        <v>140</v>
      </c>
      <c r="L109" t="s">
        <v>14</v>
      </c>
      <c r="M109" t="s">
        <v>128</v>
      </c>
      <c r="N109" t="str">
        <f t="shared" si="2"/>
        <v>PT Cauchos TBR ANV9021 12.00R20 20PR SR168 TT SET STEPRISING AN00239</v>
      </c>
    </row>
    <row r="110" spans="1:14" x14ac:dyDescent="0.25">
      <c r="A110" t="s">
        <v>122</v>
      </c>
      <c r="B110" t="s">
        <v>308</v>
      </c>
      <c r="C110" t="s">
        <v>309</v>
      </c>
      <c r="D110" s="2">
        <v>46009</v>
      </c>
      <c r="E110" t="s">
        <v>232</v>
      </c>
      <c r="F110" t="s">
        <v>233</v>
      </c>
      <c r="G110" t="s">
        <v>234</v>
      </c>
      <c r="H110" s="17">
        <v>90</v>
      </c>
      <c r="L110" t="s">
        <v>14</v>
      </c>
      <c r="M110" t="s">
        <v>128</v>
      </c>
      <c r="N110" t="str">
        <f t="shared" si="2"/>
        <v>PT Cauchos TBR ANV9012 12R22.5 18PR 152/149M SR198 STEPRISING AN00239</v>
      </c>
    </row>
    <row r="111" spans="1:14" x14ac:dyDescent="0.25">
      <c r="A111" t="s">
        <v>122</v>
      </c>
      <c r="B111" t="s">
        <v>308</v>
      </c>
      <c r="C111" t="s">
        <v>309</v>
      </c>
      <c r="D111" s="2">
        <v>46009</v>
      </c>
      <c r="E111" t="s">
        <v>250</v>
      </c>
      <c r="F111" t="s">
        <v>233</v>
      </c>
      <c r="G111" t="s">
        <v>251</v>
      </c>
      <c r="H111" s="17">
        <v>160</v>
      </c>
      <c r="L111" t="s">
        <v>14</v>
      </c>
      <c r="M111" t="s">
        <v>128</v>
      </c>
      <c r="N111" t="str">
        <f t="shared" si="2"/>
        <v>PT Cauchos TBR ANV9011 12R22.5 18PR SR168 STEPRISING AN00239</v>
      </c>
    </row>
    <row r="112" spans="1:14" x14ac:dyDescent="0.25">
      <c r="A112" t="s">
        <v>122</v>
      </c>
      <c r="B112" t="s">
        <v>308</v>
      </c>
      <c r="C112" t="s">
        <v>309</v>
      </c>
      <c r="D112" s="2">
        <v>46009</v>
      </c>
      <c r="E112" t="s">
        <v>132</v>
      </c>
      <c r="F112" t="s">
        <v>133</v>
      </c>
      <c r="G112" t="s">
        <v>134</v>
      </c>
      <c r="H112" s="17">
        <v>620</v>
      </c>
      <c r="L112" t="s">
        <v>14</v>
      </c>
      <c r="M112" t="s">
        <v>128</v>
      </c>
      <c r="N112" t="str">
        <f t="shared" si="2"/>
        <v>PT Cauchos TBR ANV9013 295/80R22.5 18PR SR198 STEPRISING AN00239</v>
      </c>
    </row>
    <row r="113" spans="1:14" x14ac:dyDescent="0.25">
      <c r="A113" t="s">
        <v>122</v>
      </c>
      <c r="B113" t="s">
        <v>308</v>
      </c>
      <c r="C113" t="s">
        <v>309</v>
      </c>
      <c r="D113" s="2">
        <v>46009</v>
      </c>
      <c r="E113" t="s">
        <v>334</v>
      </c>
      <c r="F113" t="s">
        <v>133</v>
      </c>
      <c r="G113" t="s">
        <v>335</v>
      </c>
      <c r="H113" s="17">
        <v>60</v>
      </c>
      <c r="L113" t="s">
        <v>14</v>
      </c>
      <c r="M113" t="s">
        <v>128</v>
      </c>
      <c r="N113" t="str">
        <f t="shared" si="2"/>
        <v>PT Cauchos TBR ANV9028 295/80R22.5 18PR TL SR219 STEPRISING AN00239</v>
      </c>
    </row>
    <row r="114" spans="1:14" x14ac:dyDescent="0.25">
      <c r="A114" t="s">
        <v>122</v>
      </c>
      <c r="B114" t="s">
        <v>308</v>
      </c>
      <c r="C114" t="s">
        <v>309</v>
      </c>
      <c r="D114" s="2">
        <v>46009</v>
      </c>
      <c r="E114" t="s">
        <v>129</v>
      </c>
      <c r="F114" t="s">
        <v>130</v>
      </c>
      <c r="G114" t="s">
        <v>131</v>
      </c>
      <c r="H114" s="17">
        <v>504</v>
      </c>
      <c r="L114" t="s">
        <v>14</v>
      </c>
      <c r="M114" t="s">
        <v>128</v>
      </c>
      <c r="N114" t="str">
        <f t="shared" si="2"/>
        <v>PT Cauchos TBR ANV9026 295/80R22.5 18PR SR168 TL STEPPRISING AN00239</v>
      </c>
    </row>
    <row r="115" spans="1:14" x14ac:dyDescent="0.25">
      <c r="A115" t="s">
        <v>122</v>
      </c>
      <c r="B115" t="s">
        <v>308</v>
      </c>
      <c r="C115" t="s">
        <v>309</v>
      </c>
      <c r="D115" s="2">
        <v>46009</v>
      </c>
      <c r="E115" t="s">
        <v>230</v>
      </c>
      <c r="F115" t="s">
        <v>228</v>
      </c>
      <c r="G115" t="s">
        <v>231</v>
      </c>
      <c r="H115" s="17">
        <v>320</v>
      </c>
      <c r="L115" t="s">
        <v>14</v>
      </c>
      <c r="M115" t="s">
        <v>128</v>
      </c>
      <c r="N115" t="str">
        <f t="shared" si="2"/>
        <v>PT Cauchos TBR ANV9017 315/80R22.5 20PR 156/150M SR198 STEPRISING AN00239</v>
      </c>
    </row>
    <row r="116" spans="1:14" x14ac:dyDescent="0.25">
      <c r="A116" t="s">
        <v>122</v>
      </c>
      <c r="B116" t="s">
        <v>308</v>
      </c>
      <c r="C116" t="s">
        <v>309</v>
      </c>
      <c r="D116" s="2">
        <v>46009</v>
      </c>
      <c r="E116" t="s">
        <v>336</v>
      </c>
      <c r="F116" t="s">
        <v>228</v>
      </c>
      <c r="G116" t="s">
        <v>337</v>
      </c>
      <c r="H116" s="17">
        <v>60</v>
      </c>
      <c r="L116" t="s">
        <v>14</v>
      </c>
      <c r="M116" t="s">
        <v>128</v>
      </c>
      <c r="N116" t="str">
        <f t="shared" si="2"/>
        <v>PT Cauchos TBR ANV9029 315/80R22.5 20PR TL SR399 STEPRISING AN00239</v>
      </c>
    </row>
    <row r="117" spans="1:14" x14ac:dyDescent="0.25">
      <c r="A117" t="s">
        <v>122</v>
      </c>
      <c r="B117" t="s">
        <v>308</v>
      </c>
      <c r="C117" t="s">
        <v>309</v>
      </c>
      <c r="D117" s="2">
        <v>46009</v>
      </c>
      <c r="E117" t="s">
        <v>338</v>
      </c>
      <c r="F117" t="s">
        <v>228</v>
      </c>
      <c r="G117" t="s">
        <v>339</v>
      </c>
      <c r="H117" s="17">
        <v>220</v>
      </c>
      <c r="L117" t="s">
        <v>14</v>
      </c>
      <c r="M117" t="s">
        <v>128</v>
      </c>
      <c r="N117" t="str">
        <f t="shared" si="2"/>
        <v>PT Cauchos TBR ANV9045 315/80R22.5 20PR SR868 AN00239</v>
      </c>
    </row>
    <row r="118" spans="1:14" x14ac:dyDescent="0.25">
      <c r="A118" t="s">
        <v>122</v>
      </c>
      <c r="B118" t="s">
        <v>308</v>
      </c>
      <c r="C118" t="s">
        <v>309</v>
      </c>
      <c r="D118" s="2">
        <v>46009</v>
      </c>
      <c r="E118" t="s">
        <v>340</v>
      </c>
      <c r="F118" t="s">
        <v>228</v>
      </c>
      <c r="G118" t="s">
        <v>341</v>
      </c>
      <c r="H118" s="17">
        <v>160</v>
      </c>
      <c r="L118" t="s">
        <v>14</v>
      </c>
      <c r="M118" t="s">
        <v>128</v>
      </c>
      <c r="N118" t="str">
        <f t="shared" si="2"/>
        <v>PT Cauchos TBR ANV9030 315/80R22.5 20PR TL XTR189 STEPRISING AN00239</v>
      </c>
    </row>
    <row r="119" spans="1:14" x14ac:dyDescent="0.25">
      <c r="A119" t="s">
        <v>122</v>
      </c>
      <c r="B119" t="s">
        <v>308</v>
      </c>
      <c r="C119" t="s">
        <v>309</v>
      </c>
      <c r="D119" s="2">
        <v>46009</v>
      </c>
      <c r="E119" t="s">
        <v>342</v>
      </c>
      <c r="F119" t="s">
        <v>228</v>
      </c>
      <c r="G119" t="s">
        <v>343</v>
      </c>
      <c r="H119" s="17">
        <v>80</v>
      </c>
      <c r="L119" t="s">
        <v>14</v>
      </c>
      <c r="M119" t="s">
        <v>128</v>
      </c>
      <c r="N119" t="str">
        <f t="shared" si="2"/>
        <v>PT Cauchos TBR ANV9036 315/80R22.5 20PR SR688 STEPRISING AN00239</v>
      </c>
    </row>
    <row r="120" spans="1:14" x14ac:dyDescent="0.25">
      <c r="A120" t="s">
        <v>122</v>
      </c>
      <c r="B120" t="s">
        <v>308</v>
      </c>
      <c r="C120" t="s">
        <v>309</v>
      </c>
      <c r="D120" s="2">
        <v>46009</v>
      </c>
      <c r="E120" t="s">
        <v>227</v>
      </c>
      <c r="F120" t="s">
        <v>228</v>
      </c>
      <c r="G120" t="s">
        <v>229</v>
      </c>
      <c r="H120" s="17">
        <v>180</v>
      </c>
      <c r="L120" t="s">
        <v>14</v>
      </c>
      <c r="M120" t="s">
        <v>128</v>
      </c>
      <c r="N120" t="str">
        <f t="shared" si="2"/>
        <v>PT Cauchos TBR ANV9014 315/80R22.5 20PR SR168 STEPRISING AN00239</v>
      </c>
    </row>
    <row r="121" spans="1:14" x14ac:dyDescent="0.25">
      <c r="A121" t="s">
        <v>122</v>
      </c>
      <c r="B121" t="s">
        <v>308</v>
      </c>
      <c r="C121" t="s">
        <v>309</v>
      </c>
      <c r="D121" s="2">
        <v>46009</v>
      </c>
      <c r="E121" t="s">
        <v>344</v>
      </c>
      <c r="F121" t="s">
        <v>253</v>
      </c>
      <c r="G121" t="s">
        <v>345</v>
      </c>
      <c r="H121" s="17">
        <v>60</v>
      </c>
      <c r="L121" t="s">
        <v>14</v>
      </c>
      <c r="M121" t="s">
        <v>128</v>
      </c>
      <c r="N121" t="str">
        <f t="shared" si="2"/>
        <v>PT Cauchos TBR ANV9023  12.00R24  20PR SR168 STEPRISING AN00239</v>
      </c>
    </row>
    <row r="122" spans="1:14" x14ac:dyDescent="0.25">
      <c r="A122" t="s">
        <v>13</v>
      </c>
      <c r="B122" t="s">
        <v>346</v>
      </c>
      <c r="C122" t="s">
        <v>347</v>
      </c>
      <c r="D122" s="2">
        <v>46009</v>
      </c>
      <c r="E122" t="s">
        <v>348</v>
      </c>
      <c r="F122" t="s">
        <v>349</v>
      </c>
      <c r="G122" t="s">
        <v>350</v>
      </c>
      <c r="H122" s="17">
        <v>12</v>
      </c>
      <c r="I122" s="1">
        <v>46050</v>
      </c>
      <c r="J122" s="1">
        <v>46109</v>
      </c>
      <c r="L122" t="s">
        <v>14</v>
      </c>
      <c r="M122" t="s">
        <v>37</v>
      </c>
      <c r="N122" t="str">
        <f t="shared" si="2"/>
        <v>PT Cauchos TDS ANV9249 10.00-16 10PR F2(4RIB) TT ARMOUR AN00315-1</v>
      </c>
    </row>
    <row r="123" spans="1:14" x14ac:dyDescent="0.25">
      <c r="A123" t="s">
        <v>13</v>
      </c>
      <c r="B123" t="s">
        <v>346</v>
      </c>
      <c r="C123" t="s">
        <v>347</v>
      </c>
      <c r="D123" s="2">
        <v>46009</v>
      </c>
      <c r="E123" t="s">
        <v>351</v>
      </c>
      <c r="F123" t="s">
        <v>352</v>
      </c>
      <c r="G123" t="s">
        <v>353</v>
      </c>
      <c r="H123" s="17">
        <v>12</v>
      </c>
      <c r="I123" s="1">
        <v>46050</v>
      </c>
      <c r="J123" s="1">
        <v>46109</v>
      </c>
      <c r="L123" t="s">
        <v>14</v>
      </c>
      <c r="M123" t="s">
        <v>37</v>
      </c>
      <c r="N123" t="str">
        <f t="shared" si="2"/>
        <v>PT Cauchos TDS ANV9250 11.00-16 12PR F2(4RIB) TT ARMOUR AN00315-1</v>
      </c>
    </row>
    <row r="124" spans="1:14" x14ac:dyDescent="0.25">
      <c r="A124" t="s">
        <v>13</v>
      </c>
      <c r="B124" t="s">
        <v>346</v>
      </c>
      <c r="C124" t="s">
        <v>347</v>
      </c>
      <c r="D124" s="2">
        <v>46009</v>
      </c>
      <c r="E124" t="s">
        <v>354</v>
      </c>
      <c r="F124" t="s">
        <v>42</v>
      </c>
      <c r="G124" t="s">
        <v>355</v>
      </c>
      <c r="H124" s="17">
        <v>10</v>
      </c>
      <c r="I124" s="1">
        <v>46050</v>
      </c>
      <c r="J124" s="1">
        <v>46109</v>
      </c>
      <c r="L124" t="s">
        <v>14</v>
      </c>
      <c r="M124" t="s">
        <v>38</v>
      </c>
      <c r="N124" t="str">
        <f t="shared" si="2"/>
        <v>PT Cauchos TTS ANV9252 9.5-24 8PR R1 TT ARMOUR AN00315-1</v>
      </c>
    </row>
    <row r="125" spans="1:14" x14ac:dyDescent="0.25">
      <c r="A125" t="s">
        <v>13</v>
      </c>
      <c r="B125" t="s">
        <v>346</v>
      </c>
      <c r="C125" t="s">
        <v>347</v>
      </c>
      <c r="D125" s="2">
        <v>46009</v>
      </c>
      <c r="E125" t="s">
        <v>356</v>
      </c>
      <c r="F125" t="s">
        <v>41</v>
      </c>
      <c r="G125" t="s">
        <v>357</v>
      </c>
      <c r="H125" s="17">
        <v>12</v>
      </c>
      <c r="I125" s="1">
        <v>46050</v>
      </c>
      <c r="J125" s="1">
        <v>46109</v>
      </c>
      <c r="L125" t="s">
        <v>14</v>
      </c>
      <c r="M125" t="s">
        <v>38</v>
      </c>
      <c r="N125" t="str">
        <f t="shared" si="2"/>
        <v>PT Cauchos TTS ANV9253 12.4-24 12PR R1 TT ARMOUR AN00315-1</v>
      </c>
    </row>
    <row r="126" spans="1:14" x14ac:dyDescent="0.25">
      <c r="A126" t="s">
        <v>13</v>
      </c>
      <c r="B126" t="s">
        <v>346</v>
      </c>
      <c r="C126" t="s">
        <v>347</v>
      </c>
      <c r="D126" s="2">
        <v>46009</v>
      </c>
      <c r="E126" t="s">
        <v>358</v>
      </c>
      <c r="F126" t="s">
        <v>41</v>
      </c>
      <c r="G126" t="s">
        <v>359</v>
      </c>
      <c r="H126" s="17">
        <v>14</v>
      </c>
      <c r="I126" s="1">
        <v>46050</v>
      </c>
      <c r="J126" s="1">
        <v>46109</v>
      </c>
      <c r="L126" t="s">
        <v>14</v>
      </c>
      <c r="M126" t="s">
        <v>38</v>
      </c>
      <c r="N126" t="str">
        <f t="shared" si="2"/>
        <v>PT Cauchos TTS ANV9254 12.4-24 8PR R2 TT ARMOUR AN00315-1</v>
      </c>
    </row>
    <row r="127" spans="1:14" x14ac:dyDescent="0.25">
      <c r="A127" t="s">
        <v>13</v>
      </c>
      <c r="B127" t="s">
        <v>346</v>
      </c>
      <c r="C127" t="s">
        <v>347</v>
      </c>
      <c r="D127" s="2">
        <v>46009</v>
      </c>
      <c r="E127" t="s">
        <v>360</v>
      </c>
      <c r="F127" t="s">
        <v>39</v>
      </c>
      <c r="G127" t="s">
        <v>361</v>
      </c>
      <c r="H127" s="17">
        <v>12</v>
      </c>
      <c r="I127" s="1">
        <v>46050</v>
      </c>
      <c r="J127" s="1">
        <v>46109</v>
      </c>
      <c r="L127" t="s">
        <v>14</v>
      </c>
      <c r="M127" t="s">
        <v>38</v>
      </c>
      <c r="N127" t="str">
        <f t="shared" si="2"/>
        <v>PT Cauchos TTS ANV9255 14.9-24 12PR R1 TT ARMOUR AN00315-1</v>
      </c>
    </row>
    <row r="128" spans="1:14" x14ac:dyDescent="0.25">
      <c r="A128" t="s">
        <v>13</v>
      </c>
      <c r="B128" t="s">
        <v>346</v>
      </c>
      <c r="C128" t="s">
        <v>347</v>
      </c>
      <c r="D128" s="2">
        <v>46009</v>
      </c>
      <c r="E128" t="s">
        <v>362</v>
      </c>
      <c r="F128" t="s">
        <v>39</v>
      </c>
      <c r="G128" t="s">
        <v>363</v>
      </c>
      <c r="H128" s="17">
        <v>42</v>
      </c>
      <c r="I128" s="1">
        <v>46050</v>
      </c>
      <c r="J128" s="1">
        <v>46109</v>
      </c>
      <c r="L128" t="s">
        <v>14</v>
      </c>
      <c r="M128" t="s">
        <v>38</v>
      </c>
      <c r="N128" t="str">
        <f t="shared" si="2"/>
        <v>PT Cauchos TTS ANV9256 14.9-24 12PR R2 TT ARMOUR AN00315-1</v>
      </c>
    </row>
    <row r="129" spans="1:14" x14ac:dyDescent="0.25">
      <c r="A129" t="s">
        <v>13</v>
      </c>
      <c r="B129" t="s">
        <v>346</v>
      </c>
      <c r="C129" t="s">
        <v>347</v>
      </c>
      <c r="D129" s="2">
        <v>46009</v>
      </c>
      <c r="E129" t="s">
        <v>364</v>
      </c>
      <c r="F129" t="s">
        <v>365</v>
      </c>
      <c r="G129" t="s">
        <v>366</v>
      </c>
      <c r="H129" s="17">
        <v>6</v>
      </c>
      <c r="I129" s="1">
        <v>46050</v>
      </c>
      <c r="J129" s="1">
        <v>46109</v>
      </c>
      <c r="L129" t="s">
        <v>14</v>
      </c>
      <c r="M129" t="s">
        <v>38</v>
      </c>
      <c r="N129" t="str">
        <f t="shared" si="2"/>
        <v>PT Cauchos TTS ANV9257 18.4-26 12PR R1 TT ARMOUR AN00315-1</v>
      </c>
    </row>
    <row r="130" spans="1:14" x14ac:dyDescent="0.25">
      <c r="A130" t="s">
        <v>13</v>
      </c>
      <c r="B130" t="s">
        <v>346</v>
      </c>
      <c r="C130" t="s">
        <v>347</v>
      </c>
      <c r="D130" s="2">
        <v>46009</v>
      </c>
      <c r="E130" t="s">
        <v>367</v>
      </c>
      <c r="F130" t="s">
        <v>175</v>
      </c>
      <c r="G130" t="s">
        <v>368</v>
      </c>
      <c r="H130" s="17">
        <v>12</v>
      </c>
      <c r="I130" s="1">
        <v>46050</v>
      </c>
      <c r="J130" s="1">
        <v>46109</v>
      </c>
      <c r="L130" t="s">
        <v>14</v>
      </c>
      <c r="M130" t="s">
        <v>38</v>
      </c>
      <c r="N130" t="str">
        <f t="shared" si="2"/>
        <v>PT Cauchos TTS ANV9258 23.1-26 18PR R2 TT ARMOUR AN00315-1</v>
      </c>
    </row>
    <row r="131" spans="1:14" x14ac:dyDescent="0.25">
      <c r="A131" t="s">
        <v>13</v>
      </c>
      <c r="B131" t="s">
        <v>346</v>
      </c>
      <c r="C131" t="s">
        <v>347</v>
      </c>
      <c r="D131" s="2">
        <v>46009</v>
      </c>
      <c r="E131" t="s">
        <v>369</v>
      </c>
      <c r="F131" t="s">
        <v>40</v>
      </c>
      <c r="G131" t="s">
        <v>370</v>
      </c>
      <c r="H131" s="17">
        <v>12</v>
      </c>
      <c r="I131" s="1">
        <v>46050</v>
      </c>
      <c r="J131" s="1">
        <v>46109</v>
      </c>
      <c r="L131" t="s">
        <v>14</v>
      </c>
      <c r="M131" t="s">
        <v>38</v>
      </c>
      <c r="N131" t="str">
        <f t="shared" si="2"/>
        <v>PT Cauchos TTS ANV9260 23.1-30 14PR R2 TT ARMOUR AN00315-1</v>
      </c>
    </row>
    <row r="132" spans="1:14" x14ac:dyDescent="0.25">
      <c r="A132" t="s">
        <v>13</v>
      </c>
      <c r="B132" t="s">
        <v>346</v>
      </c>
      <c r="C132" t="s">
        <v>347</v>
      </c>
      <c r="D132" s="2">
        <v>46009</v>
      </c>
      <c r="E132" t="s">
        <v>371</v>
      </c>
      <c r="F132" t="s">
        <v>172</v>
      </c>
      <c r="G132" t="s">
        <v>372</v>
      </c>
      <c r="H132" s="17">
        <v>12</v>
      </c>
      <c r="I132" s="1">
        <v>46050</v>
      </c>
      <c r="J132" s="1">
        <v>46109</v>
      </c>
      <c r="L132" t="s">
        <v>14</v>
      </c>
      <c r="M132" t="s">
        <v>38</v>
      </c>
      <c r="N132" t="str">
        <f t="shared" si="2"/>
        <v>PT Cauchos TTS ANV9261 18.4-34 10PR R2 TT ARMOUR AN00315-1</v>
      </c>
    </row>
    <row r="133" spans="1:14" x14ac:dyDescent="0.25">
      <c r="A133" t="s">
        <v>13</v>
      </c>
      <c r="B133" t="s">
        <v>346</v>
      </c>
      <c r="C133" t="s">
        <v>347</v>
      </c>
      <c r="D133" s="2">
        <v>46009</v>
      </c>
      <c r="E133" t="s">
        <v>373</v>
      </c>
      <c r="F133" t="s">
        <v>374</v>
      </c>
      <c r="G133" t="s">
        <v>375</v>
      </c>
      <c r="H133" s="17">
        <v>6</v>
      </c>
      <c r="I133" s="1">
        <v>46050</v>
      </c>
      <c r="J133" s="1">
        <v>46109</v>
      </c>
      <c r="L133" t="s">
        <v>14</v>
      </c>
      <c r="M133" t="s">
        <v>38</v>
      </c>
      <c r="N133" t="str">
        <f t="shared" si="2"/>
        <v>PT Cauchos TTS ANV9262 18.4-38 12PR R2 TT ARMOUR AN00315-1</v>
      </c>
    </row>
    <row r="134" spans="1:14" x14ac:dyDescent="0.25">
      <c r="A134" t="s">
        <v>13</v>
      </c>
      <c r="B134" t="s">
        <v>346</v>
      </c>
      <c r="C134" t="s">
        <v>347</v>
      </c>
      <c r="D134" s="2">
        <v>46009</v>
      </c>
      <c r="E134" t="s">
        <v>376</v>
      </c>
      <c r="F134" t="s">
        <v>377</v>
      </c>
      <c r="G134" t="s">
        <v>378</v>
      </c>
      <c r="H134" s="17">
        <v>6</v>
      </c>
      <c r="I134" s="1">
        <v>46050</v>
      </c>
      <c r="J134" s="1">
        <v>46109</v>
      </c>
      <c r="L134" t="s">
        <v>14</v>
      </c>
      <c r="M134" t="s">
        <v>38</v>
      </c>
      <c r="N134" t="str">
        <f t="shared" si="2"/>
        <v>PT Cauchos TTS ANV9263 20.8-38 12PR R2 TT ARMOUR AN00315-1</v>
      </c>
    </row>
    <row r="135" spans="1:14" x14ac:dyDescent="0.25">
      <c r="A135" t="s">
        <v>13</v>
      </c>
      <c r="B135" t="s">
        <v>346</v>
      </c>
      <c r="C135" t="s">
        <v>347</v>
      </c>
      <c r="D135" s="2">
        <v>46009</v>
      </c>
      <c r="E135" t="s">
        <v>379</v>
      </c>
      <c r="F135" t="s">
        <v>16</v>
      </c>
      <c r="G135" t="s">
        <v>380</v>
      </c>
      <c r="H135" s="17">
        <v>12</v>
      </c>
      <c r="I135" s="1">
        <v>46050</v>
      </c>
      <c r="J135" s="1">
        <v>46109</v>
      </c>
      <c r="L135" t="s">
        <v>14</v>
      </c>
      <c r="M135" t="s">
        <v>37</v>
      </c>
      <c r="N135" t="str">
        <f t="shared" si="2"/>
        <v>PT Cauchos TDS ANV9264 11L-16TL 12PR F-3 ARMOUR AN00315-1</v>
      </c>
    </row>
    <row r="136" spans="1:14" x14ac:dyDescent="0.25">
      <c r="A136" t="s">
        <v>13</v>
      </c>
      <c r="B136" t="s">
        <v>346</v>
      </c>
      <c r="C136" t="s">
        <v>347</v>
      </c>
      <c r="D136" s="2">
        <v>46009</v>
      </c>
      <c r="E136" t="s">
        <v>381</v>
      </c>
      <c r="F136" t="s">
        <v>382</v>
      </c>
      <c r="G136" t="s">
        <v>383</v>
      </c>
      <c r="H136" s="17">
        <v>12</v>
      </c>
      <c r="I136" s="1">
        <v>46050</v>
      </c>
      <c r="J136" s="1">
        <v>46109</v>
      </c>
      <c r="L136" t="s">
        <v>14</v>
      </c>
      <c r="M136" t="s">
        <v>37</v>
      </c>
      <c r="N136" t="str">
        <f t="shared" si="2"/>
        <v>PT Cauchos TDS ANV9265 14.5/75-16.1TL 10PR F-3 ARMOUR AN00315-1</v>
      </c>
    </row>
    <row r="137" spans="1:14" x14ac:dyDescent="0.25">
      <c r="A137" t="s">
        <v>13</v>
      </c>
      <c r="B137" t="s">
        <v>346</v>
      </c>
      <c r="C137" t="s">
        <v>347</v>
      </c>
      <c r="D137" s="2">
        <v>46009</v>
      </c>
      <c r="E137" t="s">
        <v>384</v>
      </c>
      <c r="F137" t="s">
        <v>385</v>
      </c>
      <c r="G137" t="s">
        <v>386</v>
      </c>
      <c r="H137" s="17">
        <v>12</v>
      </c>
      <c r="I137" s="1">
        <v>46050</v>
      </c>
      <c r="J137" s="1">
        <v>46109</v>
      </c>
      <c r="L137" t="s">
        <v>14</v>
      </c>
      <c r="M137" t="s">
        <v>37</v>
      </c>
      <c r="N137" t="str">
        <f t="shared" si="2"/>
        <v>PT Cauchos TDS ANV9266 16.5/70-18 18PR IMP100  TT ARMOUR AN00315-1</v>
      </c>
    </row>
    <row r="138" spans="1:14" x14ac:dyDescent="0.25">
      <c r="A138" t="s">
        <v>13</v>
      </c>
      <c r="B138" t="s">
        <v>346</v>
      </c>
      <c r="C138" t="s">
        <v>347</v>
      </c>
      <c r="D138" s="2">
        <v>46009</v>
      </c>
      <c r="E138" t="s">
        <v>387</v>
      </c>
      <c r="F138" t="s">
        <v>388</v>
      </c>
      <c r="G138" t="s">
        <v>389</v>
      </c>
      <c r="H138" s="17">
        <v>36</v>
      </c>
      <c r="I138" s="1">
        <v>46050</v>
      </c>
      <c r="J138" s="1">
        <v>46109</v>
      </c>
      <c r="L138" t="s">
        <v>14</v>
      </c>
      <c r="M138" t="s">
        <v>18</v>
      </c>
      <c r="N138" t="str">
        <f t="shared" si="2"/>
        <v>PT Cauchos IDS ANV9242 12.5/80-18-12PR TL IMP600 ARMOUR AN00315-1</v>
      </c>
    </row>
    <row r="139" spans="1:14" x14ac:dyDescent="0.25">
      <c r="A139" t="s">
        <v>13</v>
      </c>
      <c r="B139" t="s">
        <v>346</v>
      </c>
      <c r="C139" t="s">
        <v>347</v>
      </c>
      <c r="D139" s="2">
        <v>46009</v>
      </c>
      <c r="E139" t="s">
        <v>390</v>
      </c>
      <c r="F139" t="s">
        <v>391</v>
      </c>
      <c r="G139" t="s">
        <v>392</v>
      </c>
      <c r="H139" s="17">
        <v>18</v>
      </c>
      <c r="I139" s="1">
        <v>46050</v>
      </c>
      <c r="J139" s="1">
        <v>46109</v>
      </c>
      <c r="L139" t="s">
        <v>14</v>
      </c>
      <c r="M139" t="s">
        <v>18</v>
      </c>
      <c r="N139" t="str">
        <f t="shared" si="2"/>
        <v>PT Cauchos IDS ANV9233 6.50-10-12PR TT PLT328 ARMOUR AN00315-1</v>
      </c>
    </row>
    <row r="140" spans="1:14" x14ac:dyDescent="0.25">
      <c r="A140" t="s">
        <v>13</v>
      </c>
      <c r="B140" t="s">
        <v>346</v>
      </c>
      <c r="C140" t="s">
        <v>347</v>
      </c>
      <c r="D140" s="2">
        <v>46009</v>
      </c>
      <c r="E140" t="s">
        <v>393</v>
      </c>
      <c r="F140" t="s">
        <v>394</v>
      </c>
      <c r="G140" t="s">
        <v>395</v>
      </c>
      <c r="H140" s="17">
        <v>18</v>
      </c>
      <c r="I140" s="1">
        <v>46050</v>
      </c>
      <c r="J140" s="1">
        <v>46109</v>
      </c>
      <c r="L140" t="s">
        <v>14</v>
      </c>
      <c r="M140" t="s">
        <v>18</v>
      </c>
      <c r="N140" t="str">
        <f t="shared" si="2"/>
        <v>PT Cauchos IDS ANV9234 7.00-12-14PR TT PLT328 ARMOUR AN00315-1</v>
      </c>
    </row>
    <row r="141" spans="1:14" x14ac:dyDescent="0.25">
      <c r="A141" t="s">
        <v>13</v>
      </c>
      <c r="B141" t="s">
        <v>346</v>
      </c>
      <c r="C141" t="s">
        <v>347</v>
      </c>
      <c r="D141" s="2">
        <v>46009</v>
      </c>
      <c r="E141" t="s">
        <v>396</v>
      </c>
      <c r="F141" t="s">
        <v>397</v>
      </c>
      <c r="G141" t="s">
        <v>398</v>
      </c>
      <c r="H141" s="17">
        <v>8</v>
      </c>
      <c r="I141" s="1">
        <v>46050</v>
      </c>
      <c r="J141" s="1">
        <v>46109</v>
      </c>
      <c r="L141" t="s">
        <v>14</v>
      </c>
      <c r="M141" t="s">
        <v>18</v>
      </c>
      <c r="N141" t="str">
        <f t="shared" si="2"/>
        <v>PT Cauchos IDS ANV9235 8.25-15-16PR TT PLT328 ARMOUR AN00315-1</v>
      </c>
    </row>
    <row r="142" spans="1:14" x14ac:dyDescent="0.25">
      <c r="A142" t="s">
        <v>13</v>
      </c>
      <c r="B142" t="s">
        <v>346</v>
      </c>
      <c r="C142" t="s">
        <v>347</v>
      </c>
      <c r="D142" s="2">
        <v>46009</v>
      </c>
      <c r="E142" t="s">
        <v>19</v>
      </c>
      <c r="F142" t="s">
        <v>20</v>
      </c>
      <c r="G142" t="s">
        <v>21</v>
      </c>
      <c r="H142" s="17">
        <v>16</v>
      </c>
      <c r="I142" s="1">
        <v>46050</v>
      </c>
      <c r="J142" s="1">
        <v>46109</v>
      </c>
      <c r="L142" t="s">
        <v>14</v>
      </c>
      <c r="M142" t="s">
        <v>22</v>
      </c>
      <c r="N142" t="str">
        <f t="shared" si="2"/>
        <v>PT Cauchos MTC ANV9227 7.00-12  SP900  ARMOUR AN00315-1</v>
      </c>
    </row>
    <row r="143" spans="1:14" x14ac:dyDescent="0.25">
      <c r="A143" t="s">
        <v>13</v>
      </c>
      <c r="B143" t="s">
        <v>346</v>
      </c>
      <c r="C143" t="s">
        <v>347</v>
      </c>
      <c r="D143" s="2">
        <v>46009</v>
      </c>
      <c r="E143" t="s">
        <v>399</v>
      </c>
      <c r="F143" t="s">
        <v>400</v>
      </c>
      <c r="G143" t="s">
        <v>401</v>
      </c>
      <c r="H143" s="17">
        <v>12</v>
      </c>
      <c r="I143" s="1">
        <v>46050</v>
      </c>
      <c r="J143" s="1">
        <v>46109</v>
      </c>
      <c r="L143" t="s">
        <v>14</v>
      </c>
      <c r="M143" t="s">
        <v>22</v>
      </c>
      <c r="N143" t="str">
        <f t="shared" si="2"/>
        <v>PT Cauchos MTC ANV9226 28*9-15  SP900  ARMOUR AN00315-1</v>
      </c>
    </row>
    <row r="144" spans="1:14" x14ac:dyDescent="0.25">
      <c r="A144" t="s">
        <v>13</v>
      </c>
      <c r="B144" t="s">
        <v>346</v>
      </c>
      <c r="C144" t="s">
        <v>347</v>
      </c>
      <c r="D144" s="2">
        <v>46009</v>
      </c>
      <c r="E144" t="s">
        <v>28</v>
      </c>
      <c r="F144" t="s">
        <v>29</v>
      </c>
      <c r="G144" t="s">
        <v>30</v>
      </c>
      <c r="H144" s="17">
        <v>41</v>
      </c>
      <c r="I144" s="1">
        <v>46050</v>
      </c>
      <c r="J144" s="1">
        <v>46109</v>
      </c>
      <c r="L144" t="s">
        <v>14</v>
      </c>
      <c r="M144" t="s">
        <v>18</v>
      </c>
      <c r="N144" t="str">
        <f t="shared" si="2"/>
        <v>PT Cauchos IDS ANV9236 12-16.5-14PR TL L4B ARMOUR AN00315-1</v>
      </c>
    </row>
    <row r="145" spans="1:14" x14ac:dyDescent="0.25">
      <c r="A145" t="s">
        <v>13</v>
      </c>
      <c r="C145" t="s">
        <v>402</v>
      </c>
      <c r="D145" s="2">
        <v>46009</v>
      </c>
      <c r="E145" t="s">
        <v>403</v>
      </c>
      <c r="F145" t="s">
        <v>404</v>
      </c>
      <c r="G145" t="s">
        <v>405</v>
      </c>
      <c r="H145" s="17">
        <v>12</v>
      </c>
      <c r="I145" s="1" t="s">
        <v>406</v>
      </c>
      <c r="L145" t="s">
        <v>14</v>
      </c>
      <c r="M145" t="s">
        <v>38</v>
      </c>
      <c r="N145" t="str">
        <f t="shared" si="2"/>
        <v>PT Cauchos TTS ANV9251 405/70-20 14PR R1 TL ARMOUR AN00315-2</v>
      </c>
    </row>
    <row r="146" spans="1:14" x14ac:dyDescent="0.25">
      <c r="A146" t="s">
        <v>13</v>
      </c>
      <c r="C146" t="s">
        <v>402</v>
      </c>
      <c r="D146" s="2">
        <v>46009</v>
      </c>
      <c r="E146" t="s">
        <v>407</v>
      </c>
      <c r="F146" t="s">
        <v>43</v>
      </c>
      <c r="G146" t="s">
        <v>408</v>
      </c>
      <c r="H146" s="17">
        <v>30</v>
      </c>
      <c r="I146" s="1" t="s">
        <v>406</v>
      </c>
      <c r="L146" t="s">
        <v>14</v>
      </c>
      <c r="M146" t="s">
        <v>38</v>
      </c>
      <c r="N146" t="str">
        <f t="shared" si="2"/>
        <v>PT Cauchos TTS ANV9259 14.9-28 10PR R2 TT ARMOUR AN00315-2</v>
      </c>
    </row>
    <row r="147" spans="1:14" x14ac:dyDescent="0.25">
      <c r="A147" t="s">
        <v>13</v>
      </c>
      <c r="C147" t="s">
        <v>402</v>
      </c>
      <c r="D147" s="2">
        <v>46009</v>
      </c>
      <c r="E147" t="s">
        <v>409</v>
      </c>
      <c r="F147" t="s">
        <v>410</v>
      </c>
      <c r="G147" t="s">
        <v>411</v>
      </c>
      <c r="H147" s="17">
        <v>6</v>
      </c>
      <c r="I147" s="1" t="s">
        <v>406</v>
      </c>
      <c r="L147" t="s">
        <v>14</v>
      </c>
      <c r="M147" t="s">
        <v>18</v>
      </c>
      <c r="N147" t="str">
        <f t="shared" si="2"/>
        <v>PT Cauchos IDS ANV9201 11L-15 8PR I-1 TT ARMOUR AN00315-2</v>
      </c>
    </row>
    <row r="148" spans="1:14" x14ac:dyDescent="0.25">
      <c r="A148" t="s">
        <v>13</v>
      </c>
      <c r="C148" t="s">
        <v>402</v>
      </c>
      <c r="D148" s="2">
        <v>46009</v>
      </c>
      <c r="E148" t="s">
        <v>15</v>
      </c>
      <c r="F148" t="s">
        <v>16</v>
      </c>
      <c r="G148" t="s">
        <v>17</v>
      </c>
      <c r="H148" s="17">
        <v>6</v>
      </c>
      <c r="I148" s="1" t="s">
        <v>406</v>
      </c>
      <c r="L148" t="s">
        <v>14</v>
      </c>
      <c r="M148" t="s">
        <v>18</v>
      </c>
      <c r="N148" t="str">
        <f t="shared" si="2"/>
        <v>PT Cauchos IDS ANV9202 11L-16 8PR I-1 TT ARMOUR AN00315-2</v>
      </c>
    </row>
    <row r="149" spans="1:14" x14ac:dyDescent="0.25">
      <c r="A149" t="s">
        <v>13</v>
      </c>
      <c r="C149" t="s">
        <v>402</v>
      </c>
      <c r="D149" s="2">
        <v>46009</v>
      </c>
      <c r="E149" t="s">
        <v>412</v>
      </c>
      <c r="F149" t="s">
        <v>413</v>
      </c>
      <c r="G149" t="s">
        <v>414</v>
      </c>
      <c r="H149" s="17">
        <v>8</v>
      </c>
      <c r="I149" s="1" t="s">
        <v>406</v>
      </c>
      <c r="L149" t="s">
        <v>14</v>
      </c>
      <c r="M149" t="s">
        <v>18</v>
      </c>
      <c r="N149" t="str">
        <f t="shared" si="2"/>
        <v>PT Cauchos IDS ANV9230 300-15-20PR TT PLT328 ARMOUR AN00315-2</v>
      </c>
    </row>
    <row r="150" spans="1:14" x14ac:dyDescent="0.25">
      <c r="A150" t="s">
        <v>13</v>
      </c>
      <c r="C150" t="s">
        <v>402</v>
      </c>
      <c r="D150" s="2">
        <v>46009</v>
      </c>
      <c r="E150" t="s">
        <v>415</v>
      </c>
      <c r="F150" t="s">
        <v>416</v>
      </c>
      <c r="G150" t="s">
        <v>417</v>
      </c>
      <c r="H150" s="17">
        <v>4</v>
      </c>
      <c r="I150" s="1" t="s">
        <v>406</v>
      </c>
      <c r="L150" t="s">
        <v>14</v>
      </c>
      <c r="M150" t="s">
        <v>23</v>
      </c>
      <c r="N150" t="str">
        <f t="shared" si="2"/>
        <v>PT Cauchos ORS ANV9245 16.00-25 40PR L5S TL ARMOUR AN00315-2</v>
      </c>
    </row>
    <row r="151" spans="1:14" x14ac:dyDescent="0.25">
      <c r="A151" t="s">
        <v>13</v>
      </c>
      <c r="C151" t="s">
        <v>402</v>
      </c>
      <c r="D151" s="2">
        <v>46009</v>
      </c>
      <c r="E151" t="s">
        <v>418</v>
      </c>
      <c r="F151" t="s">
        <v>419</v>
      </c>
      <c r="G151" t="s">
        <v>420</v>
      </c>
      <c r="H151" s="17">
        <v>4</v>
      </c>
      <c r="I151" s="1" t="s">
        <v>406</v>
      </c>
      <c r="L151" t="s">
        <v>14</v>
      </c>
      <c r="M151" t="s">
        <v>23</v>
      </c>
      <c r="N151" t="str">
        <f t="shared" si="2"/>
        <v>PT Cauchos ORS ANV9246 18.00-25 40PR L5S TL ARMOUR AN00315-2</v>
      </c>
    </row>
    <row r="152" spans="1:14" x14ac:dyDescent="0.25">
      <c r="A152" t="s">
        <v>13</v>
      </c>
      <c r="C152" t="s">
        <v>402</v>
      </c>
      <c r="D152" s="2">
        <v>46009</v>
      </c>
      <c r="E152" t="s">
        <v>421</v>
      </c>
      <c r="F152" t="s">
        <v>422</v>
      </c>
      <c r="G152" t="s">
        <v>423</v>
      </c>
      <c r="H152" s="17">
        <v>12</v>
      </c>
      <c r="I152" s="1" t="s">
        <v>406</v>
      </c>
      <c r="L152" t="s">
        <v>14</v>
      </c>
      <c r="M152" t="s">
        <v>23</v>
      </c>
      <c r="N152" t="str">
        <f t="shared" si="2"/>
        <v>PT Cauchos ORS ANV9216 14.00-24 16PR L-2/G-2 TL ARMOUR AN00315-2</v>
      </c>
    </row>
    <row r="153" spans="1:14" x14ac:dyDescent="0.25">
      <c r="A153" t="s">
        <v>13</v>
      </c>
      <c r="C153" t="s">
        <v>402</v>
      </c>
      <c r="D153" s="2">
        <v>46009</v>
      </c>
      <c r="E153" t="s">
        <v>424</v>
      </c>
      <c r="F153" t="s">
        <v>425</v>
      </c>
      <c r="G153" t="s">
        <v>426</v>
      </c>
      <c r="H153" s="17">
        <v>8</v>
      </c>
      <c r="I153" s="1" t="s">
        <v>406</v>
      </c>
      <c r="L153" t="s">
        <v>14</v>
      </c>
      <c r="M153" t="s">
        <v>23</v>
      </c>
      <c r="N153" t="str">
        <f t="shared" si="2"/>
        <v>PT Cauchos ORS ANV9218 17.5-25 16PR L-2/E-2 TL ARMOUR AN00315-2</v>
      </c>
    </row>
    <row r="154" spans="1:14" x14ac:dyDescent="0.25">
      <c r="A154" t="s">
        <v>13</v>
      </c>
      <c r="C154" t="s">
        <v>402</v>
      </c>
      <c r="D154" s="2">
        <v>46009</v>
      </c>
      <c r="E154" t="s">
        <v>427</v>
      </c>
      <c r="F154" t="s">
        <v>24</v>
      </c>
      <c r="G154" t="s">
        <v>428</v>
      </c>
      <c r="H154" s="17">
        <v>12</v>
      </c>
      <c r="I154" s="1" t="s">
        <v>406</v>
      </c>
      <c r="L154" t="s">
        <v>14</v>
      </c>
      <c r="M154" t="s">
        <v>23</v>
      </c>
      <c r="N154" t="str">
        <f t="shared" si="2"/>
        <v>PT Cauchos ORS ANV9267 23.5-25 16PR L-2/E-2 TT ARMOUR AN00315-2</v>
      </c>
    </row>
    <row r="155" spans="1:14" x14ac:dyDescent="0.25">
      <c r="A155" t="s">
        <v>13</v>
      </c>
      <c r="C155" t="s">
        <v>402</v>
      </c>
      <c r="D155" s="2">
        <v>46009</v>
      </c>
      <c r="E155" t="s">
        <v>429</v>
      </c>
      <c r="F155" t="s">
        <v>430</v>
      </c>
      <c r="G155" t="s">
        <v>431</v>
      </c>
      <c r="H155" s="17">
        <v>12</v>
      </c>
      <c r="I155" s="1" t="s">
        <v>406</v>
      </c>
      <c r="L155" t="s">
        <v>14</v>
      </c>
      <c r="M155" t="s">
        <v>23</v>
      </c>
      <c r="N155" t="str">
        <f t="shared" si="2"/>
        <v>PT Cauchos ORS ANV9268 15.5-25 16PR L3/E3 TL ARMOUR AN00315-2</v>
      </c>
    </row>
    <row r="156" spans="1:14" x14ac:dyDescent="0.25">
      <c r="A156" t="s">
        <v>13</v>
      </c>
      <c r="C156" t="s">
        <v>402</v>
      </c>
      <c r="D156" s="2">
        <v>46009</v>
      </c>
      <c r="E156" t="s">
        <v>432</v>
      </c>
      <c r="F156" t="s">
        <v>425</v>
      </c>
      <c r="G156" t="s">
        <v>433</v>
      </c>
      <c r="H156" s="17">
        <v>18</v>
      </c>
      <c r="I156" s="1" t="s">
        <v>406</v>
      </c>
      <c r="L156" t="s">
        <v>14</v>
      </c>
      <c r="M156" t="s">
        <v>23</v>
      </c>
      <c r="N156" t="str">
        <f t="shared" si="2"/>
        <v>PT Cauchos ORS ANV9219 17.5-25 16PR L-3/E-3 TL ARMOUR AN00315-2</v>
      </c>
    </row>
    <row r="157" spans="1:14" x14ac:dyDescent="0.25">
      <c r="A157" t="s">
        <v>13</v>
      </c>
      <c r="C157" t="s">
        <v>402</v>
      </c>
      <c r="D157" s="2">
        <v>46009</v>
      </c>
      <c r="E157" t="s">
        <v>434</v>
      </c>
      <c r="F157" t="s">
        <v>435</v>
      </c>
      <c r="G157" t="s">
        <v>436</v>
      </c>
      <c r="H157" s="17">
        <v>12</v>
      </c>
      <c r="I157" s="1" t="s">
        <v>406</v>
      </c>
      <c r="L157" t="s">
        <v>14</v>
      </c>
      <c r="M157" t="s">
        <v>23</v>
      </c>
      <c r="N157" t="str">
        <f t="shared" si="2"/>
        <v>PT Cauchos ORS ANV9269 18.00-25 16PR E-3/L-3 TT ARMOUR AN00315-2</v>
      </c>
    </row>
    <row r="158" spans="1:14" x14ac:dyDescent="0.25">
      <c r="A158" t="s">
        <v>13</v>
      </c>
      <c r="C158" t="s">
        <v>402</v>
      </c>
      <c r="D158" s="2">
        <v>46009</v>
      </c>
      <c r="E158" t="s">
        <v>437</v>
      </c>
      <c r="F158" t="s">
        <v>422</v>
      </c>
      <c r="G158" t="s">
        <v>438</v>
      </c>
      <c r="H158" s="17">
        <v>4</v>
      </c>
      <c r="I158" s="1" t="s">
        <v>406</v>
      </c>
      <c r="L158" t="s">
        <v>14</v>
      </c>
      <c r="M158" t="s">
        <v>23</v>
      </c>
      <c r="N158" t="str">
        <f t="shared" si="2"/>
        <v>PT Cauchos ORS ANV9247 14.00-24 24PR NE3 TL AN00315-2</v>
      </c>
    </row>
    <row r="159" spans="1:14" x14ac:dyDescent="0.25">
      <c r="A159" t="s">
        <v>13</v>
      </c>
      <c r="C159" t="s">
        <v>402</v>
      </c>
      <c r="D159" s="2">
        <v>46009</v>
      </c>
      <c r="E159" t="s">
        <v>439</v>
      </c>
      <c r="F159" t="s">
        <v>26</v>
      </c>
      <c r="G159" t="s">
        <v>440</v>
      </c>
      <c r="H159" s="17">
        <v>50</v>
      </c>
      <c r="I159" s="1" t="s">
        <v>406</v>
      </c>
      <c r="L159" t="s">
        <v>14</v>
      </c>
      <c r="M159" t="s">
        <v>23</v>
      </c>
      <c r="N159" t="str">
        <f t="shared" si="2"/>
        <v>PT Cauchos ORS ANV9211 12-16.5 12PR RG400 TL ARMOUR AN00315-2</v>
      </c>
    </row>
    <row r="160" spans="1:14" x14ac:dyDescent="0.25">
      <c r="A160" t="s">
        <v>13</v>
      </c>
      <c r="C160" t="s">
        <v>402</v>
      </c>
      <c r="D160" s="2">
        <v>46009</v>
      </c>
      <c r="E160" t="s">
        <v>25</v>
      </c>
      <c r="F160" t="s">
        <v>26</v>
      </c>
      <c r="G160" t="s">
        <v>27</v>
      </c>
      <c r="H160" s="17">
        <v>39</v>
      </c>
      <c r="I160" s="1" t="s">
        <v>406</v>
      </c>
      <c r="L160" t="s">
        <v>14</v>
      </c>
      <c r="M160" t="s">
        <v>23</v>
      </c>
      <c r="N160" t="str">
        <f t="shared" si="2"/>
        <v>PT Cauchos ORS ANV9212 12-16.5 14PR RG600 TL ARMOUR AN00315-2</v>
      </c>
    </row>
    <row r="161" spans="1:14" x14ac:dyDescent="0.25">
      <c r="A161" t="s">
        <v>13</v>
      </c>
      <c r="C161" t="s">
        <v>402</v>
      </c>
      <c r="D161" s="2">
        <v>46009</v>
      </c>
      <c r="E161" t="s">
        <v>28</v>
      </c>
      <c r="F161" t="s">
        <v>29</v>
      </c>
      <c r="G161" t="s">
        <v>30</v>
      </c>
      <c r="H161" s="17">
        <v>20</v>
      </c>
      <c r="I161" s="1" t="s">
        <v>406</v>
      </c>
      <c r="L161" t="s">
        <v>14</v>
      </c>
      <c r="M161" t="s">
        <v>18</v>
      </c>
      <c r="N161" t="str">
        <f t="shared" si="2"/>
        <v>PT Cauchos IDS ANV9236 12-16.5-14PR TL L4B ARMOUR AN00315-2</v>
      </c>
    </row>
    <row r="162" spans="1:14" x14ac:dyDescent="0.25">
      <c r="A162" t="s">
        <v>13</v>
      </c>
      <c r="C162" t="s">
        <v>402</v>
      </c>
      <c r="D162" s="2">
        <v>46009</v>
      </c>
      <c r="E162" t="s">
        <v>441</v>
      </c>
      <c r="F162" t="s">
        <v>442</v>
      </c>
      <c r="G162" t="s">
        <v>443</v>
      </c>
      <c r="H162" s="17">
        <v>6</v>
      </c>
      <c r="I162" s="1" t="s">
        <v>406</v>
      </c>
      <c r="L162" t="s">
        <v>14</v>
      </c>
      <c r="M162" t="s">
        <v>23</v>
      </c>
      <c r="N162" t="str">
        <f t="shared" si="2"/>
        <v>PT Cauchos ORS ANV9213 14-17.5 14PR RG500 NHS TL ARMOUR AN00315-2</v>
      </c>
    </row>
    <row r="163" spans="1:14" x14ac:dyDescent="0.25">
      <c r="A163" t="s">
        <v>13</v>
      </c>
      <c r="C163" t="s">
        <v>402</v>
      </c>
      <c r="D163" s="2">
        <v>46009</v>
      </c>
      <c r="E163" t="s">
        <v>444</v>
      </c>
      <c r="F163" t="s">
        <v>32</v>
      </c>
      <c r="G163" t="s">
        <v>445</v>
      </c>
      <c r="H163" s="17">
        <v>6</v>
      </c>
      <c r="I163" s="1" t="s">
        <v>406</v>
      </c>
      <c r="L163" t="s">
        <v>14</v>
      </c>
      <c r="M163" t="s">
        <v>18</v>
      </c>
      <c r="N163" t="str">
        <f t="shared" si="2"/>
        <v>PT Cauchos IDS ANV9204 19.5L-24 16PR L-5B TL ARMOUR AN00315-2</v>
      </c>
    </row>
    <row r="164" spans="1:14" x14ac:dyDescent="0.25">
      <c r="A164" t="s">
        <v>13</v>
      </c>
      <c r="C164" t="s">
        <v>402</v>
      </c>
      <c r="D164" s="2">
        <v>46009</v>
      </c>
      <c r="E164" t="s">
        <v>34</v>
      </c>
      <c r="F164" t="s">
        <v>35</v>
      </c>
      <c r="G164" t="s">
        <v>36</v>
      </c>
      <c r="H164" s="17">
        <v>6</v>
      </c>
      <c r="I164" s="1" t="s">
        <v>406</v>
      </c>
      <c r="L164" t="s">
        <v>14</v>
      </c>
      <c r="M164" t="s">
        <v>18</v>
      </c>
      <c r="N164" t="str">
        <f t="shared" si="2"/>
        <v>PT Cauchos IDS ANV9209 16.9-28 12PR R-4A TL ARMOUR AN00315-2</v>
      </c>
    </row>
    <row r="165" spans="1:14" x14ac:dyDescent="0.25">
      <c r="A165" t="s">
        <v>13</v>
      </c>
      <c r="C165" t="s">
        <v>402</v>
      </c>
      <c r="D165" s="2">
        <v>46009</v>
      </c>
      <c r="E165" t="s">
        <v>446</v>
      </c>
      <c r="F165" t="s">
        <v>447</v>
      </c>
      <c r="G165" t="s">
        <v>448</v>
      </c>
      <c r="H165" s="17">
        <v>8</v>
      </c>
      <c r="I165" s="1" t="s">
        <v>406</v>
      </c>
      <c r="L165" t="s">
        <v>14</v>
      </c>
      <c r="M165" t="s">
        <v>23</v>
      </c>
      <c r="N165" t="str">
        <f t="shared" si="2"/>
        <v>PT Cauchos ORS ANV9270 18.00-33 40PR NE4B PA TL ARMOUR AN00315-2</v>
      </c>
    </row>
    <row r="166" spans="1:14" x14ac:dyDescent="0.25">
      <c r="A166" t="s">
        <v>45</v>
      </c>
      <c r="B166" t="s">
        <v>449</v>
      </c>
      <c r="C166" t="s">
        <v>450</v>
      </c>
      <c r="D166" s="2">
        <v>46013</v>
      </c>
      <c r="E166" t="s">
        <v>451</v>
      </c>
      <c r="F166" t="s">
        <v>452</v>
      </c>
      <c r="G166" t="s">
        <v>453</v>
      </c>
      <c r="H166" s="20">
        <f>250-10</f>
        <v>240</v>
      </c>
      <c r="I166" s="1">
        <v>46060</v>
      </c>
      <c r="J166" s="1">
        <v>46105</v>
      </c>
      <c r="L166" t="s">
        <v>14</v>
      </c>
      <c r="M166" t="s">
        <v>51</v>
      </c>
      <c r="N166" t="str">
        <f t="shared" si="2"/>
        <v>PT Cauchos PSR ANV9312 195R14C-6PR SUPERANGE-Van 102/100S AN00515</v>
      </c>
    </row>
    <row r="167" spans="1:14" x14ac:dyDescent="0.25">
      <c r="A167" t="s">
        <v>45</v>
      </c>
      <c r="B167" t="s">
        <v>449</v>
      </c>
      <c r="C167" t="s">
        <v>450</v>
      </c>
      <c r="D167" s="2">
        <v>46013</v>
      </c>
      <c r="E167" t="s">
        <v>48</v>
      </c>
      <c r="F167" t="s">
        <v>49</v>
      </c>
      <c r="G167" t="s">
        <v>50</v>
      </c>
      <c r="H167" s="17">
        <v>32</v>
      </c>
      <c r="I167" s="1">
        <v>46060</v>
      </c>
      <c r="J167" s="1">
        <v>46105</v>
      </c>
      <c r="L167" t="s">
        <v>14</v>
      </c>
      <c r="M167" t="s">
        <v>51</v>
      </c>
      <c r="N167" t="str">
        <f t="shared" si="2"/>
        <v>PT Cauchos PSR ANV9301 185/60R15 Journey-X 88H XL AN00515</v>
      </c>
    </row>
    <row r="168" spans="1:14" x14ac:dyDescent="0.25">
      <c r="A168" t="s">
        <v>45</v>
      </c>
      <c r="B168" t="s">
        <v>449</v>
      </c>
      <c r="C168" t="s">
        <v>450</v>
      </c>
      <c r="D168" s="2">
        <v>46013</v>
      </c>
      <c r="E168" t="s">
        <v>119</v>
      </c>
      <c r="F168" t="s">
        <v>120</v>
      </c>
      <c r="G168" t="s">
        <v>121</v>
      </c>
      <c r="H168" s="20">
        <f>250-10</f>
        <v>240</v>
      </c>
      <c r="I168" s="1">
        <v>46060</v>
      </c>
      <c r="J168" s="1">
        <v>46105</v>
      </c>
      <c r="L168" t="s">
        <v>14</v>
      </c>
      <c r="M168" t="s">
        <v>51</v>
      </c>
      <c r="N168" t="str">
        <f t="shared" si="2"/>
        <v>PT Cauchos PSR ANV9313 195R15C-8PR SUPERANGE-Van 106/104S AN00515</v>
      </c>
    </row>
    <row r="169" spans="1:14" x14ac:dyDescent="0.25">
      <c r="A169" t="s">
        <v>45</v>
      </c>
      <c r="B169" t="s">
        <v>449</v>
      </c>
      <c r="C169" t="s">
        <v>450</v>
      </c>
      <c r="D169" s="2">
        <v>46013</v>
      </c>
      <c r="E169" t="s">
        <v>58</v>
      </c>
      <c r="F169" t="s">
        <v>59</v>
      </c>
      <c r="G169" t="s">
        <v>60</v>
      </c>
      <c r="H169" s="17">
        <v>32</v>
      </c>
      <c r="I169" s="1">
        <v>46060</v>
      </c>
      <c r="J169" s="1">
        <v>46105</v>
      </c>
      <c r="L169" t="s">
        <v>14</v>
      </c>
      <c r="M169" t="s">
        <v>51</v>
      </c>
      <c r="N169" t="str">
        <f t="shared" si="2"/>
        <v>PT Cauchos PSR ANV9326 195/55R15  85V Journey-X AN00515</v>
      </c>
    </row>
    <row r="170" spans="1:14" x14ac:dyDescent="0.25">
      <c r="A170" t="s">
        <v>45</v>
      </c>
      <c r="B170" t="s">
        <v>449</v>
      </c>
      <c r="C170" t="s">
        <v>450</v>
      </c>
      <c r="D170" s="2">
        <v>46013</v>
      </c>
      <c r="E170" t="s">
        <v>67</v>
      </c>
      <c r="F170" t="s">
        <v>68</v>
      </c>
      <c r="G170" t="s">
        <v>69</v>
      </c>
      <c r="H170" s="17">
        <v>32</v>
      </c>
      <c r="I170" s="1">
        <v>46060</v>
      </c>
      <c r="J170" s="1">
        <v>46105</v>
      </c>
      <c r="L170" t="s">
        <v>14</v>
      </c>
      <c r="M170" t="s">
        <v>51</v>
      </c>
      <c r="N170" t="str">
        <f t="shared" si="2"/>
        <v>PT Cauchos PSR ANV9302 205/70R15 Journey-X 96H AN00515</v>
      </c>
    </row>
    <row r="171" spans="1:14" x14ac:dyDescent="0.25">
      <c r="A171" t="s">
        <v>45</v>
      </c>
      <c r="B171" t="s">
        <v>449</v>
      </c>
      <c r="C171" t="s">
        <v>450</v>
      </c>
      <c r="D171" s="2">
        <v>46013</v>
      </c>
      <c r="E171" t="s">
        <v>454</v>
      </c>
      <c r="F171" t="s">
        <v>455</v>
      </c>
      <c r="G171" t="s">
        <v>456</v>
      </c>
      <c r="H171" s="20">
        <f>40-40</f>
        <v>0</v>
      </c>
      <c r="I171" s="1">
        <v>46060</v>
      </c>
      <c r="J171" s="1">
        <v>46105</v>
      </c>
      <c r="L171" t="s">
        <v>14</v>
      </c>
      <c r="M171" t="s">
        <v>51</v>
      </c>
      <c r="N171" t="str">
        <f t="shared" ref="N171:N234" si="3">+CONCATENATE(L171," ",M171," ",E171," ",G171," ",C171)</f>
        <v>PT Cauchos PSR ANV9303 195/60R16 Journey-X 89H AN00515</v>
      </c>
    </row>
    <row r="172" spans="1:14" x14ac:dyDescent="0.25">
      <c r="A172" t="s">
        <v>45</v>
      </c>
      <c r="B172" t="s">
        <v>449</v>
      </c>
      <c r="C172" t="s">
        <v>450</v>
      </c>
      <c r="D172" s="2">
        <v>46013</v>
      </c>
      <c r="E172" t="s">
        <v>70</v>
      </c>
      <c r="F172" t="s">
        <v>71</v>
      </c>
      <c r="G172" t="s">
        <v>72</v>
      </c>
      <c r="H172" s="17">
        <v>32</v>
      </c>
      <c r="I172" s="1">
        <v>46060</v>
      </c>
      <c r="J172" s="1">
        <v>46105</v>
      </c>
      <c r="L172" t="s">
        <v>14</v>
      </c>
      <c r="M172" t="s">
        <v>51</v>
      </c>
      <c r="N172" t="str">
        <f t="shared" si="3"/>
        <v>PT Cauchos PSR ANV9304 205/60R16 Journey-X 92V AN00515</v>
      </c>
    </row>
    <row r="173" spans="1:14" x14ac:dyDescent="0.25">
      <c r="A173" t="s">
        <v>45</v>
      </c>
      <c r="B173" t="s">
        <v>449</v>
      </c>
      <c r="C173" t="s">
        <v>450</v>
      </c>
      <c r="D173" s="2">
        <v>46013</v>
      </c>
      <c r="E173" t="s">
        <v>73</v>
      </c>
      <c r="F173" t="s">
        <v>74</v>
      </c>
      <c r="G173" t="s">
        <v>75</v>
      </c>
      <c r="H173" s="17">
        <v>32</v>
      </c>
      <c r="I173" s="1">
        <v>46060</v>
      </c>
      <c r="J173" s="1">
        <v>46105</v>
      </c>
      <c r="L173" t="s">
        <v>14</v>
      </c>
      <c r="M173" t="s">
        <v>51</v>
      </c>
      <c r="N173" t="str">
        <f t="shared" si="3"/>
        <v>PT Cauchos PSR ANV9323 215/65R16 Journey-X HP 98H AN00515</v>
      </c>
    </row>
    <row r="174" spans="1:14" x14ac:dyDescent="0.25">
      <c r="A174" t="s">
        <v>45</v>
      </c>
      <c r="B174" t="s">
        <v>449</v>
      </c>
      <c r="C174" t="s">
        <v>450</v>
      </c>
      <c r="D174" s="2">
        <v>46013</v>
      </c>
      <c r="E174" t="s">
        <v>82</v>
      </c>
      <c r="F174" t="s">
        <v>83</v>
      </c>
      <c r="G174" t="s">
        <v>84</v>
      </c>
      <c r="H174" s="17">
        <v>56</v>
      </c>
      <c r="I174" s="1">
        <v>46060</v>
      </c>
      <c r="J174" s="1">
        <v>46105</v>
      </c>
      <c r="L174" t="s">
        <v>14</v>
      </c>
      <c r="M174" t="s">
        <v>51</v>
      </c>
      <c r="N174" t="str">
        <f t="shared" si="3"/>
        <v>PT Cauchos PSR ANV9307 205/50ZR17 Quest-X 93Y XL AN00515</v>
      </c>
    </row>
    <row r="175" spans="1:14" x14ac:dyDescent="0.25">
      <c r="A175" t="s">
        <v>45</v>
      </c>
      <c r="B175" t="s">
        <v>449</v>
      </c>
      <c r="C175" t="s">
        <v>450</v>
      </c>
      <c r="D175" s="2">
        <v>46013</v>
      </c>
      <c r="E175" t="s">
        <v>457</v>
      </c>
      <c r="F175" t="s">
        <v>458</v>
      </c>
      <c r="G175" t="s">
        <v>459</v>
      </c>
      <c r="H175" s="17">
        <v>36</v>
      </c>
      <c r="I175" s="1">
        <v>46060</v>
      </c>
      <c r="J175" s="1">
        <v>46105</v>
      </c>
      <c r="L175" t="s">
        <v>14</v>
      </c>
      <c r="M175" t="s">
        <v>51</v>
      </c>
      <c r="N175" t="str">
        <f t="shared" si="3"/>
        <v>PT Cauchos PSR ANV9306 215/50ZR17  Journey-X 95W XL AN00515</v>
      </c>
    </row>
    <row r="176" spans="1:14" x14ac:dyDescent="0.25">
      <c r="A176" t="s">
        <v>45</v>
      </c>
      <c r="B176" t="s">
        <v>449</v>
      </c>
      <c r="C176" t="s">
        <v>450</v>
      </c>
      <c r="D176" s="2">
        <v>46013</v>
      </c>
      <c r="E176" t="s">
        <v>85</v>
      </c>
      <c r="F176" t="s">
        <v>86</v>
      </c>
      <c r="G176" t="s">
        <v>87</v>
      </c>
      <c r="H176" s="17">
        <v>32</v>
      </c>
      <c r="I176" s="1">
        <v>46060</v>
      </c>
      <c r="J176" s="1">
        <v>46105</v>
      </c>
      <c r="L176" t="s">
        <v>14</v>
      </c>
      <c r="M176" t="s">
        <v>51</v>
      </c>
      <c r="N176" t="str">
        <f t="shared" si="3"/>
        <v>PT Cauchos PSR ANV9308 215/55ZR17 Quest-X 98W XL AN00515</v>
      </c>
    </row>
    <row r="177" spans="1:14" x14ac:dyDescent="0.25">
      <c r="A177" t="s">
        <v>45</v>
      </c>
      <c r="B177" t="s">
        <v>449</v>
      </c>
      <c r="C177" t="s">
        <v>450</v>
      </c>
      <c r="D177" s="2">
        <v>46013</v>
      </c>
      <c r="E177" t="s">
        <v>88</v>
      </c>
      <c r="F177" t="s">
        <v>89</v>
      </c>
      <c r="G177" t="s">
        <v>90</v>
      </c>
      <c r="H177" s="17">
        <v>52</v>
      </c>
      <c r="I177" s="1">
        <v>46060</v>
      </c>
      <c r="J177" s="1">
        <v>46105</v>
      </c>
      <c r="L177" t="s">
        <v>14</v>
      </c>
      <c r="M177" t="s">
        <v>51</v>
      </c>
      <c r="N177" t="str">
        <f t="shared" si="3"/>
        <v>PT Cauchos PSR ANV9309 225/50ZR17 Quest-X 98Y XL AN00515</v>
      </c>
    </row>
    <row r="178" spans="1:14" x14ac:dyDescent="0.25">
      <c r="A178" t="s">
        <v>45</v>
      </c>
      <c r="B178" t="s">
        <v>449</v>
      </c>
      <c r="C178" t="s">
        <v>450</v>
      </c>
      <c r="D178" s="2">
        <v>46013</v>
      </c>
      <c r="E178" t="s">
        <v>91</v>
      </c>
      <c r="F178" t="s">
        <v>92</v>
      </c>
      <c r="G178" t="s">
        <v>93</v>
      </c>
      <c r="H178" s="17">
        <v>52</v>
      </c>
      <c r="I178" s="1">
        <v>46060</v>
      </c>
      <c r="J178" s="1">
        <v>46105</v>
      </c>
      <c r="L178" t="s">
        <v>14</v>
      </c>
      <c r="M178" t="s">
        <v>51</v>
      </c>
      <c r="N178" t="str">
        <f t="shared" si="3"/>
        <v>PT Cauchos PSR ANV9310 225/55ZR17 Quest-X 97W AN00515</v>
      </c>
    </row>
    <row r="179" spans="1:14" x14ac:dyDescent="0.25">
      <c r="A179" t="s">
        <v>45</v>
      </c>
      <c r="B179" t="s">
        <v>449</v>
      </c>
      <c r="C179" t="s">
        <v>450</v>
      </c>
      <c r="D179" s="2">
        <v>46013</v>
      </c>
      <c r="E179" t="s">
        <v>460</v>
      </c>
      <c r="F179" t="s">
        <v>461</v>
      </c>
      <c r="G179" t="s">
        <v>462</v>
      </c>
      <c r="H179" s="17">
        <v>36</v>
      </c>
      <c r="I179" s="1">
        <v>46060</v>
      </c>
      <c r="J179" s="1">
        <v>46105</v>
      </c>
      <c r="L179" t="s">
        <v>14</v>
      </c>
      <c r="M179" t="s">
        <v>100</v>
      </c>
      <c r="N179" t="str">
        <f t="shared" si="3"/>
        <v>PT Cauchos LTR ANV9325 235/65R17 Quest-X SUV H/T 108 H XL AN00515</v>
      </c>
    </row>
    <row r="180" spans="1:14" x14ac:dyDescent="0.25">
      <c r="A180" t="s">
        <v>45</v>
      </c>
      <c r="B180" t="s">
        <v>449</v>
      </c>
      <c r="C180" t="s">
        <v>450</v>
      </c>
      <c r="D180" s="2">
        <v>46013</v>
      </c>
      <c r="E180" t="s">
        <v>463</v>
      </c>
      <c r="F180" t="s">
        <v>464</v>
      </c>
      <c r="G180" t="s">
        <v>465</v>
      </c>
      <c r="H180" s="17">
        <v>36</v>
      </c>
      <c r="I180" s="1">
        <v>46060</v>
      </c>
      <c r="J180" s="1">
        <v>46105</v>
      </c>
      <c r="L180" t="s">
        <v>14</v>
      </c>
      <c r="M180" t="s">
        <v>51</v>
      </c>
      <c r="N180" t="str">
        <f t="shared" si="3"/>
        <v>PT Cauchos PSR ANV9336 225/45ZR18  Quest-X  95Y XL AN00515</v>
      </c>
    </row>
    <row r="181" spans="1:14" x14ac:dyDescent="0.25">
      <c r="A181" t="s">
        <v>45</v>
      </c>
      <c r="B181" t="s">
        <v>449</v>
      </c>
      <c r="C181" t="s">
        <v>450</v>
      </c>
      <c r="D181" s="2">
        <v>46013</v>
      </c>
      <c r="E181" t="s">
        <v>466</v>
      </c>
      <c r="F181" t="s">
        <v>467</v>
      </c>
      <c r="G181" t="s">
        <v>468</v>
      </c>
      <c r="H181" s="20">
        <f>32-20</f>
        <v>12</v>
      </c>
      <c r="I181" s="1">
        <v>46060</v>
      </c>
      <c r="J181" s="1">
        <v>46105</v>
      </c>
      <c r="L181" t="s">
        <v>14</v>
      </c>
      <c r="M181" t="s">
        <v>51</v>
      </c>
      <c r="N181" t="str">
        <f t="shared" si="3"/>
        <v>PT Cauchos PSR ANV9356 235/50ZR19 103Y Quest-X GREENTRAC AN00515</v>
      </c>
    </row>
    <row r="182" spans="1:14" x14ac:dyDescent="0.25">
      <c r="A182" t="s">
        <v>122</v>
      </c>
      <c r="B182" t="s">
        <v>469</v>
      </c>
      <c r="C182" t="s">
        <v>470</v>
      </c>
      <c r="D182" s="2">
        <v>45978</v>
      </c>
      <c r="E182" t="s">
        <v>316</v>
      </c>
      <c r="F182" t="s">
        <v>317</v>
      </c>
      <c r="G182" t="s">
        <v>318</v>
      </c>
      <c r="H182" s="17">
        <v>250</v>
      </c>
      <c r="I182" s="1">
        <v>46028</v>
      </c>
      <c r="J182" s="1">
        <v>46077</v>
      </c>
      <c r="L182" t="s">
        <v>14</v>
      </c>
      <c r="M182" t="s">
        <v>128</v>
      </c>
      <c r="N182" t="str">
        <f t="shared" si="3"/>
        <v>PT Cauchos TBR ANV9008 235/75R17.516PR SR516 TL STEPRISING  AN00238-3</v>
      </c>
    </row>
    <row r="183" spans="1:14" x14ac:dyDescent="0.25">
      <c r="A183" t="s">
        <v>122</v>
      </c>
      <c r="B183" t="s">
        <v>469</v>
      </c>
      <c r="C183" t="s">
        <v>470</v>
      </c>
      <c r="D183" s="2">
        <v>45978</v>
      </c>
      <c r="E183" t="s">
        <v>471</v>
      </c>
      <c r="F183" t="s">
        <v>233</v>
      </c>
      <c r="G183" t="s">
        <v>472</v>
      </c>
      <c r="H183" s="17">
        <v>90</v>
      </c>
      <c r="I183" s="1">
        <v>46028</v>
      </c>
      <c r="J183" s="1">
        <v>46077</v>
      </c>
      <c r="L183" t="s">
        <v>14</v>
      </c>
      <c r="M183" t="s">
        <v>128</v>
      </c>
      <c r="N183" t="str">
        <f t="shared" si="3"/>
        <v>PT Cauchos TBR ANV9035 12R22.5 18PR SR219 STEPRISING AN00238-3</v>
      </c>
    </row>
    <row r="184" spans="1:14" x14ac:dyDescent="0.25">
      <c r="A184" t="s">
        <v>122</v>
      </c>
      <c r="B184" t="s">
        <v>469</v>
      </c>
      <c r="C184" t="s">
        <v>470</v>
      </c>
      <c r="D184" s="2">
        <v>45978</v>
      </c>
      <c r="E184" t="s">
        <v>342</v>
      </c>
      <c r="F184" t="s">
        <v>228</v>
      </c>
      <c r="G184" t="s">
        <v>343</v>
      </c>
      <c r="H184" s="17">
        <v>37</v>
      </c>
      <c r="I184" s="1">
        <v>46028</v>
      </c>
      <c r="J184" s="1">
        <v>46077</v>
      </c>
      <c r="L184" t="s">
        <v>14</v>
      </c>
      <c r="M184" t="s">
        <v>128</v>
      </c>
      <c r="N184" t="str">
        <f t="shared" si="3"/>
        <v>PT Cauchos TBR ANV9036 315/80R22.5 20PR SR688 STEPRISING AN00238-3</v>
      </c>
    </row>
    <row r="185" spans="1:14" x14ac:dyDescent="0.25">
      <c r="A185" t="s">
        <v>122</v>
      </c>
      <c r="B185" t="s">
        <v>469</v>
      </c>
      <c r="C185" t="s">
        <v>470</v>
      </c>
      <c r="D185" s="2">
        <v>45978</v>
      </c>
      <c r="E185" t="s">
        <v>132</v>
      </c>
      <c r="F185" t="s">
        <v>133</v>
      </c>
      <c r="G185" t="s">
        <v>134</v>
      </c>
      <c r="H185" s="17">
        <v>140</v>
      </c>
      <c r="I185" s="1">
        <v>46028</v>
      </c>
      <c r="J185" s="1">
        <v>46077</v>
      </c>
      <c r="L185" t="s">
        <v>14</v>
      </c>
      <c r="M185" t="s">
        <v>128</v>
      </c>
      <c r="N185" t="str">
        <f t="shared" si="3"/>
        <v>PT Cauchos TBR ANV9013 295/80R22.5 18PR SR198 STEPRISING AN00238-3</v>
      </c>
    </row>
    <row r="186" spans="1:14" x14ac:dyDescent="0.25">
      <c r="A186" t="s">
        <v>122</v>
      </c>
      <c r="B186" t="s">
        <v>469</v>
      </c>
      <c r="C186" t="s">
        <v>470</v>
      </c>
      <c r="D186" s="2">
        <v>45978</v>
      </c>
      <c r="E186" t="s">
        <v>342</v>
      </c>
      <c r="F186" t="s">
        <v>228</v>
      </c>
      <c r="G186" t="s">
        <v>343</v>
      </c>
      <c r="H186" s="17">
        <v>103</v>
      </c>
      <c r="I186" s="1">
        <v>46028</v>
      </c>
      <c r="J186" s="1">
        <v>46077</v>
      </c>
      <c r="L186" t="s">
        <v>14</v>
      </c>
      <c r="M186" t="s">
        <v>128</v>
      </c>
      <c r="N186" t="str">
        <f t="shared" si="3"/>
        <v>PT Cauchos TBR ANV9036 315/80R22.5 20PR SR688 STEPRISING AN00238-3</v>
      </c>
    </row>
    <row r="187" spans="1:14" x14ac:dyDescent="0.25">
      <c r="A187" t="s">
        <v>122</v>
      </c>
      <c r="B187" t="s">
        <v>469</v>
      </c>
      <c r="C187" t="s">
        <v>470</v>
      </c>
      <c r="D187" s="2">
        <v>45978</v>
      </c>
      <c r="E187" t="s">
        <v>342</v>
      </c>
      <c r="F187" t="s">
        <v>228</v>
      </c>
      <c r="G187" t="s">
        <v>343</v>
      </c>
      <c r="H187" s="17">
        <v>50</v>
      </c>
      <c r="I187" s="1">
        <v>46028</v>
      </c>
      <c r="J187" s="1">
        <v>46077</v>
      </c>
      <c r="L187" t="s">
        <v>14</v>
      </c>
      <c r="M187" t="s">
        <v>128</v>
      </c>
      <c r="N187" t="str">
        <f t="shared" si="3"/>
        <v>PT Cauchos TBR ANV9036 315/80R22.5 20PR SR688 STEPRISING AN00238-3</v>
      </c>
    </row>
    <row r="188" spans="1:14" x14ac:dyDescent="0.25">
      <c r="A188" t="s">
        <v>122</v>
      </c>
      <c r="B188" t="s">
        <v>469</v>
      </c>
      <c r="C188" t="s">
        <v>470</v>
      </c>
      <c r="D188" s="2">
        <v>45978</v>
      </c>
      <c r="E188" t="s">
        <v>344</v>
      </c>
      <c r="F188" t="s">
        <v>253</v>
      </c>
      <c r="G188" t="s">
        <v>345</v>
      </c>
      <c r="H188" s="17">
        <v>155</v>
      </c>
      <c r="I188" s="1">
        <v>46028</v>
      </c>
      <c r="J188" s="1">
        <v>46077</v>
      </c>
      <c r="L188" t="s">
        <v>14</v>
      </c>
      <c r="M188" t="s">
        <v>128</v>
      </c>
      <c r="N188" t="str">
        <f t="shared" si="3"/>
        <v>PT Cauchos TBR ANV9023  12.00R24  20PR SR168 STEPRISING AN00238-3</v>
      </c>
    </row>
    <row r="189" spans="1:14" x14ac:dyDescent="0.25">
      <c r="A189" t="s">
        <v>122</v>
      </c>
      <c r="B189" t="s">
        <v>469</v>
      </c>
      <c r="C189" t="s">
        <v>470</v>
      </c>
      <c r="D189" s="2">
        <v>45978</v>
      </c>
      <c r="E189" t="s">
        <v>473</v>
      </c>
      <c r="F189" t="s">
        <v>474</v>
      </c>
      <c r="G189" t="s">
        <v>474</v>
      </c>
      <c r="H189" s="17">
        <v>16</v>
      </c>
      <c r="I189" s="1">
        <v>46028</v>
      </c>
      <c r="J189" s="1">
        <v>46077</v>
      </c>
      <c r="L189" t="s">
        <v>475</v>
      </c>
      <c r="M189" t="s">
        <v>476</v>
      </c>
      <c r="N189" t="str">
        <f t="shared" si="3"/>
        <v>PT Rines Rines ANV7001 22.5X8.25 Artillero | ET 120 AN00238-3</v>
      </c>
    </row>
    <row r="190" spans="1:14" x14ac:dyDescent="0.25">
      <c r="A190" t="s">
        <v>122</v>
      </c>
      <c r="B190" t="s">
        <v>469</v>
      </c>
      <c r="C190" t="s">
        <v>470</v>
      </c>
      <c r="D190" s="2">
        <v>45978</v>
      </c>
      <c r="E190" t="s">
        <v>477</v>
      </c>
      <c r="F190" t="s">
        <v>478</v>
      </c>
      <c r="G190" t="s">
        <v>479</v>
      </c>
      <c r="H190" s="17">
        <v>20</v>
      </c>
      <c r="I190" s="1">
        <v>46028</v>
      </c>
      <c r="J190" s="1">
        <v>46077</v>
      </c>
      <c r="L190" t="s">
        <v>475</v>
      </c>
      <c r="M190" t="s">
        <v>476</v>
      </c>
      <c r="N190" t="str">
        <f t="shared" si="3"/>
        <v>PT Rines Rines ANV7007 17.5X6.75 | 6 Pernos 32.5 mm, Círculo de Pernos 222.25mm, Copa 164mm, ET 127 AN00238-3</v>
      </c>
    </row>
    <row r="191" spans="1:14" x14ac:dyDescent="0.25">
      <c r="A191" t="s">
        <v>122</v>
      </c>
      <c r="B191" t="s">
        <v>480</v>
      </c>
      <c r="C191" t="s">
        <v>481</v>
      </c>
      <c r="D191" s="2">
        <v>46035</v>
      </c>
      <c r="E191" t="s">
        <v>310</v>
      </c>
      <c r="F191" t="s">
        <v>311</v>
      </c>
      <c r="G191" t="s">
        <v>312</v>
      </c>
      <c r="H191" s="17">
        <v>300</v>
      </c>
      <c r="L191" t="s">
        <v>14</v>
      </c>
      <c r="M191" t="s">
        <v>128</v>
      </c>
      <c r="N191" t="str">
        <f t="shared" si="3"/>
        <v>PT Cauchos TBR ANV9053 7.50R16LT 16PR SR168 AN00240</v>
      </c>
    </row>
    <row r="192" spans="1:14" x14ac:dyDescent="0.25">
      <c r="A192" t="s">
        <v>122</v>
      </c>
      <c r="B192" t="s">
        <v>480</v>
      </c>
      <c r="C192" t="s">
        <v>481</v>
      </c>
      <c r="D192" s="2">
        <v>46035</v>
      </c>
      <c r="E192" t="s">
        <v>238</v>
      </c>
      <c r="F192" t="s">
        <v>239</v>
      </c>
      <c r="G192" t="s">
        <v>240</v>
      </c>
      <c r="H192" s="17">
        <v>540</v>
      </c>
      <c r="L192" t="s">
        <v>14</v>
      </c>
      <c r="M192" t="s">
        <v>128</v>
      </c>
      <c r="N192" t="str">
        <f t="shared" si="3"/>
        <v>PT Cauchos TBR ANV9016 9.5R17.518PR SR516TL STEPRISING AN00240</v>
      </c>
    </row>
    <row r="193" spans="1:14" x14ac:dyDescent="0.25">
      <c r="A193" t="s">
        <v>122</v>
      </c>
      <c r="B193" t="s">
        <v>480</v>
      </c>
      <c r="C193" t="s">
        <v>481</v>
      </c>
      <c r="D193" s="2">
        <v>46035</v>
      </c>
      <c r="E193" t="s">
        <v>241</v>
      </c>
      <c r="F193" t="s">
        <v>239</v>
      </c>
      <c r="G193" t="s">
        <v>242</v>
      </c>
      <c r="H193" s="17">
        <v>140</v>
      </c>
      <c r="L193" t="s">
        <v>14</v>
      </c>
      <c r="M193" t="s">
        <v>128</v>
      </c>
      <c r="N193" t="str">
        <f t="shared" si="3"/>
        <v>PT Cauchos TBR ANV9022  9.5R17.5  18PR SR518 STEPRISING AN00240</v>
      </c>
    </row>
    <row r="194" spans="1:14" x14ac:dyDescent="0.25">
      <c r="A194" t="s">
        <v>122</v>
      </c>
      <c r="B194" t="s">
        <v>480</v>
      </c>
      <c r="C194" t="s">
        <v>481</v>
      </c>
      <c r="D194" s="2">
        <v>46035</v>
      </c>
      <c r="E194" t="s">
        <v>243</v>
      </c>
      <c r="F194" t="s">
        <v>239</v>
      </c>
      <c r="G194" t="s">
        <v>244</v>
      </c>
      <c r="H194" s="17">
        <v>140</v>
      </c>
      <c r="L194" t="s">
        <v>14</v>
      </c>
      <c r="M194" t="s">
        <v>128</v>
      </c>
      <c r="N194" t="str">
        <f t="shared" si="3"/>
        <v>PT Cauchos TBR ANV9033 9.5R17.5--18PR  SR828 STEPRISING AN00240</v>
      </c>
    </row>
    <row r="195" spans="1:14" x14ac:dyDescent="0.25">
      <c r="A195" t="s">
        <v>122</v>
      </c>
      <c r="B195" t="s">
        <v>480</v>
      </c>
      <c r="C195" t="s">
        <v>481</v>
      </c>
      <c r="D195" s="2">
        <v>46035</v>
      </c>
      <c r="E195" t="s">
        <v>245</v>
      </c>
      <c r="F195" t="s">
        <v>246</v>
      </c>
      <c r="G195" t="s">
        <v>247</v>
      </c>
      <c r="H195" s="17">
        <v>80</v>
      </c>
      <c r="L195" t="s">
        <v>14</v>
      </c>
      <c r="M195" t="s">
        <v>128</v>
      </c>
      <c r="N195" t="str">
        <f t="shared" si="3"/>
        <v>PT Cauchos TBR ANV9007 215/75R17. 516PR SR516 TL STEPRISING  AN00240</v>
      </c>
    </row>
    <row r="196" spans="1:14" x14ac:dyDescent="0.25">
      <c r="A196" t="s">
        <v>122</v>
      </c>
      <c r="B196" t="s">
        <v>480</v>
      </c>
      <c r="C196" t="s">
        <v>481</v>
      </c>
      <c r="D196" s="2">
        <v>46035</v>
      </c>
      <c r="E196" t="s">
        <v>316</v>
      </c>
      <c r="F196" t="s">
        <v>317</v>
      </c>
      <c r="G196" t="s">
        <v>318</v>
      </c>
      <c r="H196" s="17">
        <v>80</v>
      </c>
      <c r="L196" t="s">
        <v>14</v>
      </c>
      <c r="M196" t="s">
        <v>128</v>
      </c>
      <c r="N196" t="str">
        <f t="shared" si="3"/>
        <v>PT Cauchos TBR ANV9008 235/75R17.516PR SR516 TL STEPRISING  AN00240</v>
      </c>
    </row>
    <row r="197" spans="1:14" x14ac:dyDescent="0.25">
      <c r="A197" t="s">
        <v>122</v>
      </c>
      <c r="B197" t="s">
        <v>480</v>
      </c>
      <c r="C197" t="s">
        <v>481</v>
      </c>
      <c r="D197" s="2">
        <v>46035</v>
      </c>
      <c r="E197" t="s">
        <v>325</v>
      </c>
      <c r="F197" t="s">
        <v>326</v>
      </c>
      <c r="G197" t="s">
        <v>327</v>
      </c>
      <c r="H197" s="17">
        <v>40</v>
      </c>
      <c r="L197" t="s">
        <v>14</v>
      </c>
      <c r="M197" t="s">
        <v>128</v>
      </c>
      <c r="N197" t="str">
        <f t="shared" si="3"/>
        <v>PT Cauchos TBR ANV9019 9.00R20 16PR SR168 TT SET STEPRISING AN00240</v>
      </c>
    </row>
    <row r="198" spans="1:14" x14ac:dyDescent="0.25">
      <c r="A198" t="s">
        <v>122</v>
      </c>
      <c r="B198" t="s">
        <v>480</v>
      </c>
      <c r="C198" t="s">
        <v>481</v>
      </c>
      <c r="D198" s="2">
        <v>46035</v>
      </c>
      <c r="E198" t="s">
        <v>328</v>
      </c>
      <c r="F198" t="s">
        <v>329</v>
      </c>
      <c r="G198" t="s">
        <v>330</v>
      </c>
      <c r="H198" s="17">
        <v>40</v>
      </c>
      <c r="L198" t="s">
        <v>14</v>
      </c>
      <c r="M198" t="s">
        <v>128</v>
      </c>
      <c r="N198" t="str">
        <f t="shared" si="3"/>
        <v>PT Cauchos TBR ANV9020 11.00R20 18PR SR168 TT SET STEPRISING AN00240</v>
      </c>
    </row>
    <row r="199" spans="1:14" x14ac:dyDescent="0.25">
      <c r="A199" t="s">
        <v>122</v>
      </c>
      <c r="B199" t="s">
        <v>480</v>
      </c>
      <c r="C199" t="s">
        <v>481</v>
      </c>
      <c r="D199" s="2">
        <v>46035</v>
      </c>
      <c r="E199" t="s">
        <v>331</v>
      </c>
      <c r="F199" t="s">
        <v>332</v>
      </c>
      <c r="G199" t="s">
        <v>333</v>
      </c>
      <c r="H199" s="17">
        <v>40</v>
      </c>
      <c r="L199" t="s">
        <v>14</v>
      </c>
      <c r="M199" t="s">
        <v>128</v>
      </c>
      <c r="N199" t="str">
        <f t="shared" si="3"/>
        <v>PT Cauchos TBR ANV9021 12.00R20 20PR SR168 TT SET STEPRISING AN00240</v>
      </c>
    </row>
    <row r="200" spans="1:14" x14ac:dyDescent="0.25">
      <c r="A200" t="s">
        <v>122</v>
      </c>
      <c r="B200" t="s">
        <v>480</v>
      </c>
      <c r="C200" t="s">
        <v>481</v>
      </c>
      <c r="D200" s="2">
        <v>46035</v>
      </c>
      <c r="E200" t="s">
        <v>250</v>
      </c>
      <c r="F200" t="s">
        <v>233</v>
      </c>
      <c r="G200" t="s">
        <v>251</v>
      </c>
      <c r="H200" s="17">
        <v>60</v>
      </c>
      <c r="L200" t="s">
        <v>14</v>
      </c>
      <c r="M200" t="s">
        <v>128</v>
      </c>
      <c r="N200" t="str">
        <f t="shared" si="3"/>
        <v>PT Cauchos TBR ANV9011 12R22.5 18PR SR168 STEPRISING AN00240</v>
      </c>
    </row>
    <row r="201" spans="1:14" x14ac:dyDescent="0.25">
      <c r="A201" t="s">
        <v>122</v>
      </c>
      <c r="B201" t="s">
        <v>480</v>
      </c>
      <c r="C201" t="s">
        <v>481</v>
      </c>
      <c r="D201" s="2">
        <v>46035</v>
      </c>
      <c r="E201" t="s">
        <v>125</v>
      </c>
      <c r="F201" t="s">
        <v>126</v>
      </c>
      <c r="G201" t="s">
        <v>127</v>
      </c>
      <c r="H201" s="17">
        <v>310</v>
      </c>
      <c r="L201" t="s">
        <v>14</v>
      </c>
      <c r="M201" t="s">
        <v>128</v>
      </c>
      <c r="N201" t="str">
        <f t="shared" si="3"/>
        <v>PT Cauchos TBR ANV9031 255/70R22.5 16PR TL SR198 STEPRISING AN00240</v>
      </c>
    </row>
    <row r="202" spans="1:14" x14ac:dyDescent="0.25">
      <c r="A202" t="s">
        <v>122</v>
      </c>
      <c r="B202" t="s">
        <v>480</v>
      </c>
      <c r="C202" t="s">
        <v>481</v>
      </c>
      <c r="D202" s="2">
        <v>46035</v>
      </c>
      <c r="E202" t="s">
        <v>235</v>
      </c>
      <c r="F202" t="s">
        <v>236</v>
      </c>
      <c r="G202" t="s">
        <v>237</v>
      </c>
      <c r="H202" s="17">
        <v>640</v>
      </c>
      <c r="L202" t="s">
        <v>14</v>
      </c>
      <c r="M202" t="s">
        <v>128</v>
      </c>
      <c r="N202" t="str">
        <f t="shared" si="3"/>
        <v>PT Cauchos TBR ANV9027 275/70R22.5 18PR SR198 TL STEPPRISING AN00240</v>
      </c>
    </row>
    <row r="203" spans="1:14" x14ac:dyDescent="0.25">
      <c r="A203" t="s">
        <v>122</v>
      </c>
      <c r="B203" t="s">
        <v>480</v>
      </c>
      <c r="C203" t="s">
        <v>481</v>
      </c>
      <c r="D203" s="2">
        <v>46035</v>
      </c>
      <c r="E203" t="s">
        <v>132</v>
      </c>
      <c r="F203" t="s">
        <v>133</v>
      </c>
      <c r="G203" t="s">
        <v>134</v>
      </c>
      <c r="H203" s="17">
        <v>520</v>
      </c>
      <c r="L203" t="s">
        <v>14</v>
      </c>
      <c r="M203" t="s">
        <v>128</v>
      </c>
      <c r="N203" t="str">
        <f t="shared" si="3"/>
        <v>PT Cauchos TBR ANV9013 295/80R22.5 18PR SR198 STEPRISING AN00240</v>
      </c>
    </row>
    <row r="204" spans="1:14" x14ac:dyDescent="0.25">
      <c r="A204" t="s">
        <v>122</v>
      </c>
      <c r="B204" t="s">
        <v>480</v>
      </c>
      <c r="C204" t="s">
        <v>481</v>
      </c>
      <c r="D204" s="2">
        <v>46035</v>
      </c>
      <c r="E204" t="s">
        <v>129</v>
      </c>
      <c r="F204" t="s">
        <v>130</v>
      </c>
      <c r="G204" t="s">
        <v>131</v>
      </c>
      <c r="H204" s="17">
        <v>260</v>
      </c>
      <c r="L204" t="s">
        <v>14</v>
      </c>
      <c r="M204" t="s">
        <v>128</v>
      </c>
      <c r="N204" t="str">
        <f t="shared" si="3"/>
        <v>PT Cauchos TBR ANV9026 295/80R22.5 18PR SR168 TL STEPPRISING AN00240</v>
      </c>
    </row>
    <row r="205" spans="1:14" x14ac:dyDescent="0.25">
      <c r="A205" t="s">
        <v>122</v>
      </c>
      <c r="B205" t="s">
        <v>480</v>
      </c>
      <c r="C205" t="s">
        <v>481</v>
      </c>
      <c r="D205" s="2">
        <v>46035</v>
      </c>
      <c r="E205" t="s">
        <v>230</v>
      </c>
      <c r="F205" t="s">
        <v>228</v>
      </c>
      <c r="G205" t="s">
        <v>231</v>
      </c>
      <c r="H205" s="17">
        <v>480</v>
      </c>
      <c r="L205" t="s">
        <v>14</v>
      </c>
      <c r="M205" t="s">
        <v>128</v>
      </c>
      <c r="N205" t="str">
        <f t="shared" si="3"/>
        <v>PT Cauchos TBR ANV9017 315/80R22.5 20PR 156/150M SR198 STEPRISING AN00240</v>
      </c>
    </row>
    <row r="206" spans="1:14" x14ac:dyDescent="0.25">
      <c r="A206" t="s">
        <v>122</v>
      </c>
      <c r="B206" t="s">
        <v>480</v>
      </c>
      <c r="C206" t="s">
        <v>481</v>
      </c>
      <c r="D206" s="2">
        <v>46035</v>
      </c>
      <c r="E206" t="s">
        <v>338</v>
      </c>
      <c r="F206" t="s">
        <v>228</v>
      </c>
      <c r="G206" t="s">
        <v>339</v>
      </c>
      <c r="H206" s="17">
        <v>60</v>
      </c>
      <c r="L206" t="s">
        <v>14</v>
      </c>
      <c r="M206" t="s">
        <v>128</v>
      </c>
      <c r="N206" t="str">
        <f t="shared" si="3"/>
        <v>PT Cauchos TBR ANV9045 315/80R22.5 20PR SR868 AN00240</v>
      </c>
    </row>
    <row r="207" spans="1:14" x14ac:dyDescent="0.25">
      <c r="A207" t="s">
        <v>122</v>
      </c>
      <c r="B207" t="s">
        <v>480</v>
      </c>
      <c r="C207" t="s">
        <v>481</v>
      </c>
      <c r="D207" s="2">
        <v>46035</v>
      </c>
      <c r="E207" t="s">
        <v>227</v>
      </c>
      <c r="F207" t="s">
        <v>228</v>
      </c>
      <c r="G207" t="s">
        <v>229</v>
      </c>
      <c r="H207" s="17">
        <v>120</v>
      </c>
      <c r="L207" t="s">
        <v>14</v>
      </c>
      <c r="M207" t="s">
        <v>128</v>
      </c>
      <c r="N207" t="str">
        <f t="shared" si="3"/>
        <v>PT Cauchos TBR ANV9014 315/80R22.5 20PR SR168 STEPRISING AN00240</v>
      </c>
    </row>
    <row r="208" spans="1:14" x14ac:dyDescent="0.25">
      <c r="A208" t="s">
        <v>122</v>
      </c>
      <c r="B208" t="s">
        <v>480</v>
      </c>
      <c r="C208" t="s">
        <v>481</v>
      </c>
      <c r="D208" s="2">
        <v>46035</v>
      </c>
      <c r="E208" t="s">
        <v>344</v>
      </c>
      <c r="F208" t="s">
        <v>253</v>
      </c>
      <c r="G208" t="s">
        <v>345</v>
      </c>
      <c r="H208" s="17">
        <v>60</v>
      </c>
      <c r="L208" t="s">
        <v>14</v>
      </c>
      <c r="M208" t="s">
        <v>128</v>
      </c>
      <c r="N208" t="str">
        <f t="shared" si="3"/>
        <v>PT Cauchos TBR ANV9023  12.00R24  20PR SR168 STEPRISING AN00240</v>
      </c>
    </row>
    <row r="209" spans="1:14" x14ac:dyDescent="0.25">
      <c r="A209" t="s">
        <v>199</v>
      </c>
      <c r="C209" t="s">
        <v>482</v>
      </c>
      <c r="D209" s="2">
        <v>46053</v>
      </c>
      <c r="E209" t="s">
        <v>483</v>
      </c>
      <c r="F209" t="s">
        <v>133</v>
      </c>
      <c r="G209" t="s">
        <v>484</v>
      </c>
      <c r="H209" s="17">
        <v>232</v>
      </c>
      <c r="L209" t="s">
        <v>14</v>
      </c>
      <c r="M209" t="s">
        <v>128</v>
      </c>
      <c r="N209" t="str">
        <f t="shared" si="3"/>
        <v>PT Cauchos TBR ANV9543 295/80R22.5 R269  BRIDGESTONE AN00702</v>
      </c>
    </row>
    <row r="210" spans="1:14" x14ac:dyDescent="0.25">
      <c r="A210" t="s">
        <v>13</v>
      </c>
      <c r="B210" t="s">
        <v>485</v>
      </c>
      <c r="C210" t="s">
        <v>486</v>
      </c>
      <c r="D210" s="2">
        <v>46048</v>
      </c>
      <c r="E210" t="s">
        <v>387</v>
      </c>
      <c r="F210" t="s">
        <v>388</v>
      </c>
      <c r="G210" t="s">
        <v>389</v>
      </c>
      <c r="H210" s="17">
        <v>24</v>
      </c>
      <c r="L210" t="s">
        <v>14</v>
      </c>
      <c r="M210" t="s">
        <v>18</v>
      </c>
      <c r="N210" t="str">
        <f t="shared" si="3"/>
        <v>PT Cauchos IDS ANV9242 12.5/80-18-12PR TL IMP600 ARMOUR AN00316</v>
      </c>
    </row>
    <row r="211" spans="1:14" x14ac:dyDescent="0.25">
      <c r="A211" t="s">
        <v>13</v>
      </c>
      <c r="B211" t="s">
        <v>485</v>
      </c>
      <c r="C211" t="s">
        <v>486</v>
      </c>
      <c r="D211" s="2">
        <v>46048</v>
      </c>
      <c r="E211" t="s">
        <v>354</v>
      </c>
      <c r="F211" t="s">
        <v>42</v>
      </c>
      <c r="G211" t="s">
        <v>355</v>
      </c>
      <c r="H211" s="17">
        <v>10</v>
      </c>
      <c r="L211" t="s">
        <v>14</v>
      </c>
      <c r="M211" t="s">
        <v>38</v>
      </c>
      <c r="N211" t="str">
        <f t="shared" si="3"/>
        <v>PT Cauchos TTS ANV9252 9.5-24 8PR R1 TT ARMOUR AN00316</v>
      </c>
    </row>
    <row r="212" spans="1:14" x14ac:dyDescent="0.25">
      <c r="A212" t="s">
        <v>13</v>
      </c>
      <c r="B212" t="s">
        <v>485</v>
      </c>
      <c r="C212" t="s">
        <v>486</v>
      </c>
      <c r="D212" s="2">
        <v>46048</v>
      </c>
      <c r="E212" t="s">
        <v>356</v>
      </c>
      <c r="F212" t="s">
        <v>41</v>
      </c>
      <c r="G212" t="s">
        <v>357</v>
      </c>
      <c r="H212" s="17">
        <v>12</v>
      </c>
      <c r="L212" t="s">
        <v>14</v>
      </c>
      <c r="M212" t="s">
        <v>38</v>
      </c>
      <c r="N212" t="str">
        <f t="shared" si="3"/>
        <v>PT Cauchos TTS ANV9253 12.4-24 12PR R1 TT ARMOUR AN00316</v>
      </c>
    </row>
    <row r="213" spans="1:14" x14ac:dyDescent="0.25">
      <c r="A213" t="s">
        <v>13</v>
      </c>
      <c r="B213" t="s">
        <v>485</v>
      </c>
      <c r="C213" t="s">
        <v>486</v>
      </c>
      <c r="D213" s="2">
        <v>46048</v>
      </c>
      <c r="E213" t="s">
        <v>358</v>
      </c>
      <c r="F213" t="s">
        <v>41</v>
      </c>
      <c r="G213" t="s">
        <v>359</v>
      </c>
      <c r="H213" s="17">
        <v>24</v>
      </c>
      <c r="L213" t="s">
        <v>14</v>
      </c>
      <c r="M213" t="s">
        <v>38</v>
      </c>
      <c r="N213" t="str">
        <f t="shared" si="3"/>
        <v>PT Cauchos TTS ANV9254 12.4-24 8PR R2 TT ARMOUR AN00316</v>
      </c>
    </row>
    <row r="214" spans="1:14" x14ac:dyDescent="0.25">
      <c r="A214" t="s">
        <v>13</v>
      </c>
      <c r="B214" t="s">
        <v>485</v>
      </c>
      <c r="C214" t="s">
        <v>486</v>
      </c>
      <c r="D214" s="2">
        <v>46048</v>
      </c>
      <c r="E214" t="s">
        <v>360</v>
      </c>
      <c r="F214" t="s">
        <v>39</v>
      </c>
      <c r="G214" t="s">
        <v>361</v>
      </c>
      <c r="H214" s="17">
        <v>24</v>
      </c>
      <c r="L214" t="s">
        <v>14</v>
      </c>
      <c r="M214" t="s">
        <v>38</v>
      </c>
      <c r="N214" t="str">
        <f t="shared" si="3"/>
        <v>PT Cauchos TTS ANV9255 14.9-24 12PR R1 TT ARMOUR AN00316</v>
      </c>
    </row>
    <row r="215" spans="1:14" x14ac:dyDescent="0.25">
      <c r="A215" t="s">
        <v>13</v>
      </c>
      <c r="B215" t="s">
        <v>485</v>
      </c>
      <c r="C215" t="s">
        <v>486</v>
      </c>
      <c r="D215" s="2">
        <v>46048</v>
      </c>
      <c r="E215" t="s">
        <v>362</v>
      </c>
      <c r="F215" t="s">
        <v>39</v>
      </c>
      <c r="G215" t="s">
        <v>363</v>
      </c>
      <c r="H215" s="17">
        <v>44</v>
      </c>
      <c r="L215" t="s">
        <v>14</v>
      </c>
      <c r="M215" t="s">
        <v>38</v>
      </c>
      <c r="N215" t="str">
        <f t="shared" si="3"/>
        <v>PT Cauchos TTS ANV9256 14.9-24 12PR R2 TT ARMOUR AN00316</v>
      </c>
    </row>
    <row r="216" spans="1:14" x14ac:dyDescent="0.25">
      <c r="A216" t="s">
        <v>13</v>
      </c>
      <c r="B216" t="s">
        <v>485</v>
      </c>
      <c r="C216" t="s">
        <v>486</v>
      </c>
      <c r="D216" s="2">
        <v>46048</v>
      </c>
      <c r="E216" t="s">
        <v>364</v>
      </c>
      <c r="F216" t="s">
        <v>365</v>
      </c>
      <c r="G216" t="s">
        <v>366</v>
      </c>
      <c r="H216" s="17">
        <v>6</v>
      </c>
      <c r="L216" t="s">
        <v>14</v>
      </c>
      <c r="M216" t="s">
        <v>38</v>
      </c>
      <c r="N216" t="str">
        <f t="shared" si="3"/>
        <v>PT Cauchos TTS ANV9257 18.4-26 12PR R1 TT ARMOUR AN00316</v>
      </c>
    </row>
    <row r="217" spans="1:14" x14ac:dyDescent="0.25">
      <c r="A217" t="s">
        <v>13</v>
      </c>
      <c r="B217" t="s">
        <v>485</v>
      </c>
      <c r="C217" t="s">
        <v>486</v>
      </c>
      <c r="D217" s="2">
        <v>46048</v>
      </c>
      <c r="E217" t="s">
        <v>367</v>
      </c>
      <c r="F217" t="s">
        <v>175</v>
      </c>
      <c r="G217" t="s">
        <v>368</v>
      </c>
      <c r="H217" s="17">
        <v>14</v>
      </c>
      <c r="L217" t="s">
        <v>14</v>
      </c>
      <c r="M217" t="s">
        <v>38</v>
      </c>
      <c r="N217" t="str">
        <f t="shared" si="3"/>
        <v>PT Cauchos TTS ANV9258 23.1-26 18PR R2 TT ARMOUR AN00316</v>
      </c>
    </row>
    <row r="218" spans="1:14" x14ac:dyDescent="0.25">
      <c r="A218" t="s">
        <v>13</v>
      </c>
      <c r="B218" t="s">
        <v>485</v>
      </c>
      <c r="C218" t="s">
        <v>486</v>
      </c>
      <c r="D218" s="2">
        <v>46048</v>
      </c>
      <c r="E218" t="s">
        <v>487</v>
      </c>
      <c r="F218" t="s">
        <v>43</v>
      </c>
      <c r="G218" t="s">
        <v>488</v>
      </c>
      <c r="H218" s="17">
        <v>6</v>
      </c>
      <c r="L218" t="s">
        <v>14</v>
      </c>
      <c r="M218" t="s">
        <v>38</v>
      </c>
      <c r="N218" t="str">
        <f t="shared" si="3"/>
        <v>PT Cauchos TTS ANV9275 14.9-28-12 R1 ARMOUR AN00316</v>
      </c>
    </row>
    <row r="219" spans="1:14" x14ac:dyDescent="0.25">
      <c r="A219" t="s">
        <v>13</v>
      </c>
      <c r="B219" t="s">
        <v>485</v>
      </c>
      <c r="C219" t="s">
        <v>486</v>
      </c>
      <c r="D219" s="2">
        <v>46048</v>
      </c>
      <c r="E219" t="s">
        <v>407</v>
      </c>
      <c r="F219" t="s">
        <v>43</v>
      </c>
      <c r="G219" t="s">
        <v>408</v>
      </c>
      <c r="H219" s="17">
        <v>22</v>
      </c>
      <c r="L219" t="s">
        <v>14</v>
      </c>
      <c r="M219" t="s">
        <v>38</v>
      </c>
      <c r="N219" t="str">
        <f t="shared" si="3"/>
        <v>PT Cauchos TTS ANV9259 14.9-28 10PR R2 TT ARMOUR AN00316</v>
      </c>
    </row>
    <row r="220" spans="1:14" x14ac:dyDescent="0.25">
      <c r="A220" t="s">
        <v>13</v>
      </c>
      <c r="B220" t="s">
        <v>485</v>
      </c>
      <c r="C220" t="s">
        <v>486</v>
      </c>
      <c r="D220" s="2">
        <v>46048</v>
      </c>
      <c r="E220" t="s">
        <v>369</v>
      </c>
      <c r="F220" t="s">
        <v>40</v>
      </c>
      <c r="G220" t="s">
        <v>370</v>
      </c>
      <c r="H220" s="17">
        <v>12</v>
      </c>
      <c r="L220" t="s">
        <v>14</v>
      </c>
      <c r="M220" t="s">
        <v>38</v>
      </c>
      <c r="N220" t="str">
        <f t="shared" si="3"/>
        <v>PT Cauchos TTS ANV9260 23.1-30 14PR R2 TT ARMOUR AN00316</v>
      </c>
    </row>
    <row r="221" spans="1:14" x14ac:dyDescent="0.25">
      <c r="A221" t="s">
        <v>13</v>
      </c>
      <c r="B221" t="s">
        <v>485</v>
      </c>
      <c r="C221" t="s">
        <v>486</v>
      </c>
      <c r="D221" s="2">
        <v>46048</v>
      </c>
      <c r="E221" t="s">
        <v>489</v>
      </c>
      <c r="F221" t="s">
        <v>490</v>
      </c>
      <c r="G221" t="s">
        <v>491</v>
      </c>
      <c r="H221" s="17">
        <v>12</v>
      </c>
      <c r="L221" t="s">
        <v>14</v>
      </c>
      <c r="M221" t="s">
        <v>38</v>
      </c>
      <c r="N221" t="str">
        <f t="shared" si="3"/>
        <v>PT Cauchos TTS ANV9271  9.5-32 8PR R1 TT ARMOUR AN00316</v>
      </c>
    </row>
    <row r="222" spans="1:14" x14ac:dyDescent="0.25">
      <c r="A222" t="s">
        <v>13</v>
      </c>
      <c r="B222" t="s">
        <v>485</v>
      </c>
      <c r="C222" t="s">
        <v>486</v>
      </c>
      <c r="D222" s="2">
        <v>46048</v>
      </c>
      <c r="E222" t="s">
        <v>492</v>
      </c>
      <c r="F222" t="s">
        <v>493</v>
      </c>
      <c r="G222" t="s">
        <v>494</v>
      </c>
      <c r="H222" s="17">
        <v>4</v>
      </c>
      <c r="L222" t="s">
        <v>14</v>
      </c>
      <c r="M222" t="s">
        <v>38</v>
      </c>
      <c r="N222" t="str">
        <f t="shared" si="3"/>
        <v>PT Cauchos TTS ANV9272  30.5L-32 18PR R1 TT ARMOUR AN00316</v>
      </c>
    </row>
    <row r="223" spans="1:14" x14ac:dyDescent="0.25">
      <c r="A223" t="s">
        <v>13</v>
      </c>
      <c r="B223" t="s">
        <v>485</v>
      </c>
      <c r="C223" t="s">
        <v>486</v>
      </c>
      <c r="D223" s="2">
        <v>46048</v>
      </c>
      <c r="E223" t="s">
        <v>495</v>
      </c>
      <c r="F223" t="s">
        <v>496</v>
      </c>
      <c r="G223" t="s">
        <v>497</v>
      </c>
      <c r="H223" s="17">
        <v>6</v>
      </c>
      <c r="L223" t="s">
        <v>14</v>
      </c>
      <c r="M223" t="s">
        <v>38</v>
      </c>
      <c r="N223" t="str">
        <f t="shared" si="3"/>
        <v>PT Cauchos TTS ANV9273  18.4-34 12PR R1 TT ARMOUR AN00316</v>
      </c>
    </row>
    <row r="224" spans="1:14" x14ac:dyDescent="0.25">
      <c r="A224" t="s">
        <v>13</v>
      </c>
      <c r="B224" t="s">
        <v>485</v>
      </c>
      <c r="C224" t="s">
        <v>486</v>
      </c>
      <c r="D224" s="2">
        <v>46048</v>
      </c>
      <c r="E224" t="s">
        <v>371</v>
      </c>
      <c r="F224" t="s">
        <v>172</v>
      </c>
      <c r="G224" t="s">
        <v>372</v>
      </c>
      <c r="H224" s="17">
        <v>12</v>
      </c>
      <c r="L224" t="s">
        <v>14</v>
      </c>
      <c r="M224" t="s">
        <v>38</v>
      </c>
      <c r="N224" t="str">
        <f t="shared" si="3"/>
        <v>PT Cauchos TTS ANV9261 18.4-34 10PR R2 TT ARMOUR AN00316</v>
      </c>
    </row>
    <row r="225" spans="1:14" x14ac:dyDescent="0.25">
      <c r="A225" t="s">
        <v>13</v>
      </c>
      <c r="B225" t="s">
        <v>485</v>
      </c>
      <c r="C225" t="s">
        <v>486</v>
      </c>
      <c r="D225" s="2">
        <v>46048</v>
      </c>
      <c r="E225" t="s">
        <v>498</v>
      </c>
      <c r="F225" t="s">
        <v>499</v>
      </c>
      <c r="G225" t="s">
        <v>500</v>
      </c>
      <c r="H225" s="17">
        <v>6</v>
      </c>
      <c r="L225" t="s">
        <v>14</v>
      </c>
      <c r="M225" t="s">
        <v>38</v>
      </c>
      <c r="N225" t="str">
        <f t="shared" si="3"/>
        <v>PT Cauchos TTS ANV9274 18.4-38 16PR  R1 TT ARMOUR AN00316</v>
      </c>
    </row>
    <row r="226" spans="1:14" x14ac:dyDescent="0.25">
      <c r="A226" t="s">
        <v>13</v>
      </c>
      <c r="B226" t="s">
        <v>485</v>
      </c>
      <c r="C226" t="s">
        <v>486</v>
      </c>
      <c r="D226" s="2">
        <v>46048</v>
      </c>
      <c r="E226" t="s">
        <v>373</v>
      </c>
      <c r="F226" t="s">
        <v>374</v>
      </c>
      <c r="G226" t="s">
        <v>375</v>
      </c>
      <c r="H226" s="17">
        <v>6</v>
      </c>
      <c r="L226" t="s">
        <v>14</v>
      </c>
      <c r="M226" t="s">
        <v>38</v>
      </c>
      <c r="N226" t="str">
        <f t="shared" si="3"/>
        <v>PT Cauchos TTS ANV9262 18.4-38 12PR R2 TT ARMOUR AN00316</v>
      </c>
    </row>
    <row r="227" spans="1:14" x14ac:dyDescent="0.25">
      <c r="A227" t="s">
        <v>13</v>
      </c>
      <c r="B227" t="s">
        <v>485</v>
      </c>
      <c r="C227" t="s">
        <v>486</v>
      </c>
      <c r="D227" s="2">
        <v>46048</v>
      </c>
      <c r="E227" t="s">
        <v>501</v>
      </c>
      <c r="F227" t="s">
        <v>502</v>
      </c>
      <c r="G227" t="s">
        <v>503</v>
      </c>
      <c r="H227" s="17">
        <v>30</v>
      </c>
      <c r="L227" t="s">
        <v>14</v>
      </c>
      <c r="M227" t="s">
        <v>22</v>
      </c>
      <c r="N227" t="str">
        <f t="shared" si="3"/>
        <v>PT Cauchos MTC ANV9225 6.50-10  SP900  ARMOUR AN00316</v>
      </c>
    </row>
    <row r="228" spans="1:14" x14ac:dyDescent="0.25">
      <c r="A228" t="s">
        <v>13</v>
      </c>
      <c r="B228" t="s">
        <v>485</v>
      </c>
      <c r="C228" t="s">
        <v>486</v>
      </c>
      <c r="D228" s="2">
        <v>46048</v>
      </c>
      <c r="E228" t="s">
        <v>390</v>
      </c>
      <c r="F228" t="s">
        <v>391</v>
      </c>
      <c r="G228" t="s">
        <v>392</v>
      </c>
      <c r="H228" s="17">
        <v>16</v>
      </c>
      <c r="L228" t="s">
        <v>14</v>
      </c>
      <c r="M228" t="s">
        <v>18</v>
      </c>
      <c r="N228" t="str">
        <f t="shared" si="3"/>
        <v>PT Cauchos IDS ANV9233 6.50-10-12PR TT PLT328 ARMOUR AN00316</v>
      </c>
    </row>
    <row r="229" spans="1:14" x14ac:dyDescent="0.25">
      <c r="A229" t="s">
        <v>13</v>
      </c>
      <c r="B229" t="s">
        <v>485</v>
      </c>
      <c r="C229" t="s">
        <v>486</v>
      </c>
      <c r="D229" s="2">
        <v>46048</v>
      </c>
      <c r="E229" t="s">
        <v>393</v>
      </c>
      <c r="F229" t="s">
        <v>394</v>
      </c>
      <c r="G229" t="s">
        <v>395</v>
      </c>
      <c r="H229" s="17">
        <v>20</v>
      </c>
      <c r="L229" t="s">
        <v>14</v>
      </c>
      <c r="M229" t="s">
        <v>18</v>
      </c>
      <c r="N229" t="str">
        <f t="shared" si="3"/>
        <v>PT Cauchos IDS ANV9234 7.00-12-14PR TT PLT328 ARMOUR AN00316</v>
      </c>
    </row>
    <row r="230" spans="1:14" x14ac:dyDescent="0.25">
      <c r="A230" t="s">
        <v>13</v>
      </c>
      <c r="B230" t="s">
        <v>485</v>
      </c>
      <c r="C230" t="s">
        <v>486</v>
      </c>
      <c r="D230" s="2">
        <v>46048</v>
      </c>
      <c r="E230" t="s">
        <v>19</v>
      </c>
      <c r="F230" t="s">
        <v>20</v>
      </c>
      <c r="G230" t="s">
        <v>21</v>
      </c>
      <c r="H230" s="17">
        <v>20</v>
      </c>
      <c r="L230" t="s">
        <v>14</v>
      </c>
      <c r="M230" t="s">
        <v>22</v>
      </c>
      <c r="N230" t="str">
        <f t="shared" si="3"/>
        <v>PT Cauchos MTC ANV9227 7.00-12  SP900  ARMOUR AN00316</v>
      </c>
    </row>
    <row r="231" spans="1:14" x14ac:dyDescent="0.25">
      <c r="A231" t="s">
        <v>13</v>
      </c>
      <c r="B231" t="s">
        <v>485</v>
      </c>
      <c r="C231" t="s">
        <v>486</v>
      </c>
      <c r="D231" s="2">
        <v>46048</v>
      </c>
      <c r="E231" t="s">
        <v>412</v>
      </c>
      <c r="F231" t="s">
        <v>413</v>
      </c>
      <c r="G231" t="s">
        <v>414</v>
      </c>
      <c r="H231" s="17">
        <v>18</v>
      </c>
      <c r="L231" t="s">
        <v>14</v>
      </c>
      <c r="M231" t="s">
        <v>18</v>
      </c>
      <c r="N231" t="str">
        <f t="shared" si="3"/>
        <v>PT Cauchos IDS ANV9230 300-15-20PR TT PLT328 ARMOUR AN00316</v>
      </c>
    </row>
    <row r="232" spans="1:14" x14ac:dyDescent="0.25">
      <c r="A232" t="s">
        <v>13</v>
      </c>
      <c r="B232" t="s">
        <v>485</v>
      </c>
      <c r="C232" t="s">
        <v>486</v>
      </c>
      <c r="D232" s="2">
        <v>46048</v>
      </c>
      <c r="E232" t="s">
        <v>396</v>
      </c>
      <c r="F232" t="s">
        <v>397</v>
      </c>
      <c r="G232" t="s">
        <v>398</v>
      </c>
      <c r="H232" s="17">
        <v>8</v>
      </c>
      <c r="L232" t="s">
        <v>14</v>
      </c>
      <c r="M232" t="s">
        <v>18</v>
      </c>
      <c r="N232" t="str">
        <f t="shared" si="3"/>
        <v>PT Cauchos IDS ANV9235 8.25-15-16PR TT PLT328 ARMOUR AN00316</v>
      </c>
    </row>
    <row r="233" spans="1:14" x14ac:dyDescent="0.25">
      <c r="A233" t="s">
        <v>13</v>
      </c>
      <c r="B233" t="s">
        <v>485</v>
      </c>
      <c r="C233" t="s">
        <v>486</v>
      </c>
      <c r="D233" s="2">
        <v>46048</v>
      </c>
      <c r="E233" t="s">
        <v>439</v>
      </c>
      <c r="F233" t="s">
        <v>26</v>
      </c>
      <c r="G233" t="s">
        <v>440</v>
      </c>
      <c r="H233" s="17">
        <v>76</v>
      </c>
      <c r="L233" t="s">
        <v>14</v>
      </c>
      <c r="M233" t="s">
        <v>23</v>
      </c>
      <c r="N233" t="str">
        <f t="shared" si="3"/>
        <v>PT Cauchos ORS ANV9211 12-16.5 12PR RG400 TL ARMOUR AN00316</v>
      </c>
    </row>
    <row r="234" spans="1:14" x14ac:dyDescent="0.25">
      <c r="A234" t="s">
        <v>13</v>
      </c>
      <c r="B234" t="s">
        <v>485</v>
      </c>
      <c r="C234" t="s">
        <v>486</v>
      </c>
      <c r="D234" s="2">
        <v>46048</v>
      </c>
      <c r="E234" t="s">
        <v>28</v>
      </c>
      <c r="F234" t="s">
        <v>29</v>
      </c>
      <c r="G234" t="s">
        <v>30</v>
      </c>
      <c r="H234" s="17">
        <v>76</v>
      </c>
      <c r="L234" t="s">
        <v>14</v>
      </c>
      <c r="M234" t="s">
        <v>18</v>
      </c>
      <c r="N234" t="str">
        <f t="shared" si="3"/>
        <v>PT Cauchos IDS ANV9236 12-16.5-14PR TL L4B ARMOUR AN00316</v>
      </c>
    </row>
    <row r="235" spans="1:14" x14ac:dyDescent="0.25">
      <c r="A235" t="s">
        <v>13</v>
      </c>
      <c r="B235" t="s">
        <v>485</v>
      </c>
      <c r="C235" t="s">
        <v>486</v>
      </c>
      <c r="D235" s="2">
        <v>46048</v>
      </c>
      <c r="E235" t="s">
        <v>504</v>
      </c>
      <c r="F235" t="s">
        <v>505</v>
      </c>
      <c r="G235" t="s">
        <v>506</v>
      </c>
      <c r="H235" s="17">
        <v>4</v>
      </c>
      <c r="L235" t="s">
        <v>14</v>
      </c>
      <c r="M235" t="s">
        <v>23</v>
      </c>
      <c r="N235" t="str">
        <f t="shared" ref="N235:N282" si="4">+CONCATENATE(L235," ",M235," ",E235," ",G235," ",C235)</f>
        <v>PT Cauchos ORS ANV9244 33X12-20 (8,0KG) AW-2 ARMOUR AN00316</v>
      </c>
    </row>
    <row r="236" spans="1:14" x14ac:dyDescent="0.25">
      <c r="A236" t="s">
        <v>13</v>
      </c>
      <c r="B236" t="s">
        <v>485</v>
      </c>
      <c r="C236" t="s">
        <v>486</v>
      </c>
      <c r="D236" s="2">
        <v>46048</v>
      </c>
      <c r="E236" t="s">
        <v>25</v>
      </c>
      <c r="F236" t="s">
        <v>26</v>
      </c>
      <c r="G236" t="s">
        <v>27</v>
      </c>
      <c r="H236" s="17">
        <v>36</v>
      </c>
      <c r="L236" t="s">
        <v>14</v>
      </c>
      <c r="M236" t="s">
        <v>23</v>
      </c>
      <c r="N236" t="str">
        <f t="shared" si="4"/>
        <v>PT Cauchos ORS ANV9212 12-16.5 14PR RG600 TL ARMOUR AN00316</v>
      </c>
    </row>
    <row r="237" spans="1:14" x14ac:dyDescent="0.25">
      <c r="A237" t="s">
        <v>13</v>
      </c>
      <c r="B237" t="s">
        <v>485</v>
      </c>
      <c r="C237" t="s">
        <v>486</v>
      </c>
      <c r="D237" s="2">
        <v>46048</v>
      </c>
      <c r="E237" t="s">
        <v>441</v>
      </c>
      <c r="F237" t="s">
        <v>442</v>
      </c>
      <c r="G237" t="s">
        <v>443</v>
      </c>
      <c r="H237" s="17">
        <v>6</v>
      </c>
      <c r="L237" t="s">
        <v>14</v>
      </c>
      <c r="M237" t="s">
        <v>23</v>
      </c>
      <c r="N237" t="str">
        <f t="shared" si="4"/>
        <v>PT Cauchos ORS ANV9213 14-17.5 14PR RG500 NHS TL ARMOUR AN00316</v>
      </c>
    </row>
    <row r="238" spans="1:14" x14ac:dyDescent="0.25">
      <c r="A238" t="s">
        <v>13</v>
      </c>
      <c r="B238" t="s">
        <v>485</v>
      </c>
      <c r="C238" t="s">
        <v>486</v>
      </c>
      <c r="D238" s="2">
        <v>46048</v>
      </c>
      <c r="E238" t="s">
        <v>437</v>
      </c>
      <c r="F238" t="s">
        <v>422</v>
      </c>
      <c r="G238" t="s">
        <v>438</v>
      </c>
      <c r="H238" s="17">
        <v>16</v>
      </c>
      <c r="L238" t="s">
        <v>14</v>
      </c>
      <c r="M238" t="s">
        <v>23</v>
      </c>
      <c r="N238" t="str">
        <f t="shared" si="4"/>
        <v>PT Cauchos ORS ANV9247 14.00-24 24PR NE3 TL AN00316</v>
      </c>
    </row>
    <row r="239" spans="1:14" x14ac:dyDescent="0.25">
      <c r="A239" t="s">
        <v>13</v>
      </c>
      <c r="B239" t="s">
        <v>485</v>
      </c>
      <c r="C239" t="s">
        <v>486</v>
      </c>
      <c r="D239" s="2">
        <v>46048</v>
      </c>
      <c r="E239" t="s">
        <v>421</v>
      </c>
      <c r="F239" t="s">
        <v>422</v>
      </c>
      <c r="G239" t="s">
        <v>423</v>
      </c>
      <c r="H239" s="17">
        <v>54</v>
      </c>
      <c r="L239" t="s">
        <v>14</v>
      </c>
      <c r="M239" t="s">
        <v>23</v>
      </c>
      <c r="N239" t="str">
        <f t="shared" si="4"/>
        <v>PT Cauchos ORS ANV9216 14.00-24 16PR L-2/G-2 TL ARMOUR AN00316</v>
      </c>
    </row>
    <row r="240" spans="1:14" x14ac:dyDescent="0.25">
      <c r="A240" t="s">
        <v>13</v>
      </c>
      <c r="B240" t="s">
        <v>485</v>
      </c>
      <c r="C240" t="s">
        <v>486</v>
      </c>
      <c r="D240" s="2">
        <v>46048</v>
      </c>
      <c r="E240" t="s">
        <v>31</v>
      </c>
      <c r="F240" t="s">
        <v>32</v>
      </c>
      <c r="G240" t="s">
        <v>33</v>
      </c>
      <c r="H240" s="17">
        <v>12</v>
      </c>
      <c r="L240" t="s">
        <v>14</v>
      </c>
      <c r="M240" t="s">
        <v>18</v>
      </c>
      <c r="N240" t="str">
        <f t="shared" si="4"/>
        <v>PT Cauchos IDS ANV9203 19.5L-24 14PR R-4A TL ARMOUR AN00316</v>
      </c>
    </row>
    <row r="241" spans="1:18" x14ac:dyDescent="0.25">
      <c r="A241" t="s">
        <v>13</v>
      </c>
      <c r="B241" t="s">
        <v>485</v>
      </c>
      <c r="C241" t="s">
        <v>486</v>
      </c>
      <c r="D241" s="2">
        <v>46048</v>
      </c>
      <c r="E241" t="s">
        <v>444</v>
      </c>
      <c r="F241" t="s">
        <v>32</v>
      </c>
      <c r="G241" t="s">
        <v>445</v>
      </c>
      <c r="H241" s="17">
        <v>10</v>
      </c>
      <c r="L241" t="s">
        <v>14</v>
      </c>
      <c r="M241" t="s">
        <v>18</v>
      </c>
      <c r="N241" t="str">
        <f t="shared" si="4"/>
        <v>PT Cauchos IDS ANV9204 19.5L-24 16PR L-5B TL ARMOUR AN00316</v>
      </c>
    </row>
    <row r="242" spans="1:18" x14ac:dyDescent="0.25">
      <c r="A242" t="s">
        <v>13</v>
      </c>
      <c r="B242" t="s">
        <v>485</v>
      </c>
      <c r="C242" t="s">
        <v>486</v>
      </c>
      <c r="D242" s="2">
        <v>46048</v>
      </c>
      <c r="E242" t="s">
        <v>507</v>
      </c>
      <c r="F242" t="s">
        <v>508</v>
      </c>
      <c r="G242" t="s">
        <v>509</v>
      </c>
      <c r="H242" s="17">
        <v>8</v>
      </c>
      <c r="L242" t="s">
        <v>14</v>
      </c>
      <c r="M242" t="s">
        <v>23</v>
      </c>
      <c r="N242" t="str">
        <f t="shared" si="4"/>
        <v>PT Cauchos ORS ANV9241 16.00-25-32PR TL NE3 PA ARMOUR AN00316</v>
      </c>
    </row>
    <row r="243" spans="1:18" x14ac:dyDescent="0.25">
      <c r="A243" t="s">
        <v>13</v>
      </c>
      <c r="B243" t="s">
        <v>485</v>
      </c>
      <c r="C243" t="s">
        <v>486</v>
      </c>
      <c r="D243" s="2">
        <v>46048</v>
      </c>
      <c r="E243" t="s">
        <v>432</v>
      </c>
      <c r="F243" t="s">
        <v>425</v>
      </c>
      <c r="G243" t="s">
        <v>433</v>
      </c>
      <c r="H243" s="17">
        <v>8</v>
      </c>
      <c r="L243" t="s">
        <v>14</v>
      </c>
      <c r="M243" t="s">
        <v>23</v>
      </c>
      <c r="N243" t="str">
        <f t="shared" si="4"/>
        <v>PT Cauchos ORS ANV9219 17.5-25 16PR L-3/E-3 TL ARMOUR AN00316</v>
      </c>
    </row>
    <row r="244" spans="1:18" x14ac:dyDescent="0.25">
      <c r="A244" t="s">
        <v>13</v>
      </c>
      <c r="B244" t="s">
        <v>485</v>
      </c>
      <c r="C244" t="s">
        <v>486</v>
      </c>
      <c r="D244" s="2">
        <v>46048</v>
      </c>
      <c r="E244" t="s">
        <v>510</v>
      </c>
      <c r="F244" t="s">
        <v>511</v>
      </c>
      <c r="G244" t="s">
        <v>512</v>
      </c>
      <c r="H244" s="17">
        <v>3</v>
      </c>
      <c r="L244" t="s">
        <v>14</v>
      </c>
      <c r="M244" t="s">
        <v>23</v>
      </c>
      <c r="N244" t="str">
        <f t="shared" si="4"/>
        <v>PT Cauchos ORS ANV9237 18.00-25-40PR TL NE4B ARMOUR AN00316</v>
      </c>
    </row>
    <row r="245" spans="1:18" x14ac:dyDescent="0.25">
      <c r="A245" t="s">
        <v>45</v>
      </c>
      <c r="C245" t="s">
        <v>513</v>
      </c>
      <c r="D245" s="2">
        <v>46048</v>
      </c>
      <c r="E245" t="s">
        <v>514</v>
      </c>
      <c r="F245" t="s">
        <v>515</v>
      </c>
      <c r="G245" t="s">
        <v>516</v>
      </c>
      <c r="H245" s="17">
        <v>60</v>
      </c>
      <c r="L245" t="s">
        <v>14</v>
      </c>
      <c r="M245" t="s">
        <v>100</v>
      </c>
      <c r="N245" t="str">
        <f t="shared" si="4"/>
        <v>PT Cauchos LTR ANV9327 LT265/75R16-10PR  Rough Master X/T 123 / 120S AN00516</v>
      </c>
    </row>
    <row r="246" spans="1:18" x14ac:dyDescent="0.25">
      <c r="A246" t="s">
        <v>45</v>
      </c>
      <c r="C246" t="s">
        <v>513</v>
      </c>
      <c r="D246" s="2">
        <v>46048</v>
      </c>
      <c r="E246" t="s">
        <v>517</v>
      </c>
      <c r="F246" t="s">
        <v>518</v>
      </c>
      <c r="G246" t="s">
        <v>519</v>
      </c>
      <c r="H246" s="17">
        <v>300</v>
      </c>
      <c r="L246" t="s">
        <v>14</v>
      </c>
      <c r="M246" t="s">
        <v>100</v>
      </c>
      <c r="N246" t="str">
        <f t="shared" si="4"/>
        <v>PT Cauchos LTR ANV9315 LT235/80R17-10PR Rough Master X/T 120 / 117R AN00516</v>
      </c>
    </row>
    <row r="247" spans="1:18" x14ac:dyDescent="0.25">
      <c r="A247" t="s">
        <v>45</v>
      </c>
      <c r="C247" t="s">
        <v>513</v>
      </c>
      <c r="D247" s="2">
        <v>46048</v>
      </c>
      <c r="E247" t="s">
        <v>520</v>
      </c>
      <c r="F247" t="s">
        <v>521</v>
      </c>
      <c r="G247" t="s">
        <v>522</v>
      </c>
      <c r="H247" s="17">
        <v>60</v>
      </c>
      <c r="L247" t="s">
        <v>14</v>
      </c>
      <c r="M247" t="s">
        <v>100</v>
      </c>
      <c r="N247" t="str">
        <f t="shared" si="4"/>
        <v>PT Cauchos LTR ANV9332 LT285/70R17-10PR 121 / 118S Rough Master X/T AN00516</v>
      </c>
    </row>
    <row r="248" spans="1:18" x14ac:dyDescent="0.25">
      <c r="A248" t="s">
        <v>45</v>
      </c>
      <c r="C248" t="s">
        <v>513</v>
      </c>
      <c r="D248" s="2">
        <v>46048</v>
      </c>
      <c r="E248" t="s">
        <v>523</v>
      </c>
      <c r="F248" t="s">
        <v>524</v>
      </c>
      <c r="G248" t="s">
        <v>525</v>
      </c>
      <c r="H248" s="17">
        <v>60</v>
      </c>
      <c r="L248" t="s">
        <v>14</v>
      </c>
      <c r="M248" t="s">
        <v>100</v>
      </c>
      <c r="N248" t="str">
        <f t="shared" si="4"/>
        <v>PT Cauchos LTR ANV9317 245/70R16 Rough Master X/T 113T XL AN00516</v>
      </c>
    </row>
    <row r="249" spans="1:18" x14ac:dyDescent="0.25">
      <c r="A249" t="s">
        <v>45</v>
      </c>
      <c r="C249" t="s">
        <v>513</v>
      </c>
      <c r="D249" s="2">
        <v>46048</v>
      </c>
      <c r="E249" t="s">
        <v>526</v>
      </c>
      <c r="F249" t="s">
        <v>527</v>
      </c>
      <c r="G249" t="s">
        <v>528</v>
      </c>
      <c r="H249" s="17">
        <v>60</v>
      </c>
      <c r="L249" t="s">
        <v>14</v>
      </c>
      <c r="M249" t="s">
        <v>100</v>
      </c>
      <c r="N249" t="str">
        <f t="shared" si="4"/>
        <v>PT Cauchos LTR ANV9318 265/70R16 Rough Master X/T 112T AN00516</v>
      </c>
    </row>
    <row r="250" spans="1:18" x14ac:dyDescent="0.25">
      <c r="A250" t="s">
        <v>45</v>
      </c>
      <c r="C250" t="s">
        <v>513</v>
      </c>
      <c r="D250" s="2">
        <v>46048</v>
      </c>
      <c r="E250" t="s">
        <v>529</v>
      </c>
      <c r="F250" t="s">
        <v>530</v>
      </c>
      <c r="G250" t="s">
        <v>531</v>
      </c>
      <c r="H250" s="17">
        <v>60</v>
      </c>
      <c r="L250" t="s">
        <v>14</v>
      </c>
      <c r="M250" t="s">
        <v>100</v>
      </c>
      <c r="N250" t="str">
        <f t="shared" si="4"/>
        <v>PT Cauchos LTR ANV9322 285/50R20 Rough Master X/T 116H AN00516</v>
      </c>
    </row>
    <row r="251" spans="1:18" x14ac:dyDescent="0.25">
      <c r="A251" t="s">
        <v>122</v>
      </c>
      <c r="C251" t="s">
        <v>532</v>
      </c>
      <c r="D251" s="2">
        <v>46051</v>
      </c>
      <c r="E251" t="s">
        <v>305</v>
      </c>
      <c r="F251" t="s">
        <v>306</v>
      </c>
      <c r="G251" t="s">
        <v>307</v>
      </c>
      <c r="H251" s="17">
        <v>1040</v>
      </c>
      <c r="L251" t="s">
        <v>14</v>
      </c>
      <c r="M251" t="s">
        <v>100</v>
      </c>
      <c r="N251" t="str">
        <f t="shared" si="4"/>
        <v>PT Cauchos LTR ANV1901 LT265/75R16 123/120R  ALIX  IMPACT A/T PLUS AN00902</v>
      </c>
    </row>
    <row r="252" spans="1:18" x14ac:dyDescent="0.25">
      <c r="A252" t="s">
        <v>122</v>
      </c>
      <c r="C252" t="s">
        <v>532</v>
      </c>
      <c r="D252" s="2">
        <v>46051</v>
      </c>
      <c r="E252" t="s">
        <v>533</v>
      </c>
      <c r="F252" t="s">
        <v>534</v>
      </c>
      <c r="G252" t="s">
        <v>535</v>
      </c>
      <c r="H252" s="17">
        <v>1040</v>
      </c>
      <c r="L252" t="s">
        <v>14</v>
      </c>
      <c r="M252" t="s">
        <v>100</v>
      </c>
      <c r="N252" t="str">
        <f t="shared" si="4"/>
        <v>PT Cauchos LTR ANV1902 LT265/70R17 123/120S ALIX  IMPACT A/T PLUS AN00902</v>
      </c>
    </row>
    <row r="253" spans="1:18" x14ac:dyDescent="0.25">
      <c r="A253" s="3" t="s">
        <v>122</v>
      </c>
      <c r="B253" s="3"/>
      <c r="C253" s="3" t="s">
        <v>538</v>
      </c>
      <c r="D253" s="4">
        <v>46056</v>
      </c>
      <c r="E253" s="3" t="s">
        <v>331</v>
      </c>
      <c r="F253" s="3"/>
      <c r="G253" s="3" t="s">
        <v>540</v>
      </c>
      <c r="H253" s="21">
        <v>116</v>
      </c>
      <c r="I253" s="5"/>
      <c r="J253" s="5"/>
      <c r="K253" s="3"/>
      <c r="L253" s="3" t="s">
        <v>14</v>
      </c>
      <c r="M253" s="3" t="s">
        <v>128</v>
      </c>
      <c r="N253" s="3" t="str">
        <f t="shared" si="4"/>
        <v>PT Cauchos TBR ANV9021 12.00R20 20PR SR168  AN00241</v>
      </c>
      <c r="O253" s="3"/>
      <c r="P253" s="3"/>
      <c r="Q253" s="3"/>
      <c r="R253" s="3"/>
    </row>
    <row r="254" spans="1:18" x14ac:dyDescent="0.25">
      <c r="A254" s="3" t="s">
        <v>122</v>
      </c>
      <c r="B254" s="3"/>
      <c r="C254" s="3" t="s">
        <v>538</v>
      </c>
      <c r="D254" s="4">
        <v>46056</v>
      </c>
      <c r="E254" s="3" t="s">
        <v>230</v>
      </c>
      <c r="F254" s="3"/>
      <c r="G254" s="3" t="s">
        <v>541</v>
      </c>
      <c r="H254" s="21">
        <v>156</v>
      </c>
      <c r="I254" s="5"/>
      <c r="J254" s="5"/>
      <c r="K254" s="3"/>
      <c r="L254" s="3" t="s">
        <v>14</v>
      </c>
      <c r="M254" s="3" t="s">
        <v>128</v>
      </c>
      <c r="N254" s="3" t="str">
        <f t="shared" si="4"/>
        <v>PT Cauchos TBR ANV9017 315/80R22.5 20PR TL SR198  AN00241</v>
      </c>
      <c r="O254" s="3"/>
      <c r="P254" s="3"/>
      <c r="Q254" s="3"/>
      <c r="R254" s="3"/>
    </row>
    <row r="255" spans="1:18" x14ac:dyDescent="0.25">
      <c r="A255" s="3" t="s">
        <v>122</v>
      </c>
      <c r="B255" s="3"/>
      <c r="C255" s="3" t="s">
        <v>538</v>
      </c>
      <c r="D255" s="4">
        <v>46056</v>
      </c>
      <c r="E255" s="3" t="s">
        <v>336</v>
      </c>
      <c r="F255" s="3"/>
      <c r="G255" s="3" t="s">
        <v>542</v>
      </c>
      <c r="H255" s="21">
        <v>80</v>
      </c>
      <c r="I255" s="5"/>
      <c r="J255" s="5"/>
      <c r="K255" s="3"/>
      <c r="L255" s="3" t="s">
        <v>14</v>
      </c>
      <c r="M255" s="3" t="s">
        <v>128</v>
      </c>
      <c r="N255" s="3" t="str">
        <f t="shared" si="4"/>
        <v>PT Cauchos TBR ANV9029 315/80R22.5 20PR TL SR399 AN00241</v>
      </c>
      <c r="O255" s="3"/>
      <c r="P255" s="3"/>
      <c r="Q255" s="3"/>
      <c r="R255" s="3"/>
    </row>
    <row r="256" spans="1:18" x14ac:dyDescent="0.25">
      <c r="A256" s="3" t="s">
        <v>122</v>
      </c>
      <c r="B256" s="3"/>
      <c r="C256" s="3" t="s">
        <v>538</v>
      </c>
      <c r="D256" s="4">
        <v>46056</v>
      </c>
      <c r="E256" s="3" t="s">
        <v>338</v>
      </c>
      <c r="F256" s="3"/>
      <c r="G256" s="3" t="s">
        <v>339</v>
      </c>
      <c r="H256" s="21">
        <v>150</v>
      </c>
      <c r="I256" s="5"/>
      <c r="J256" s="5"/>
      <c r="K256" s="3"/>
      <c r="L256" s="3" t="s">
        <v>14</v>
      </c>
      <c r="M256" s="3" t="s">
        <v>128</v>
      </c>
      <c r="N256" s="3" t="str">
        <f t="shared" si="4"/>
        <v>PT Cauchos TBR ANV9045 315/80R22.5 20PR SR868 AN00241</v>
      </c>
      <c r="O256" s="3"/>
      <c r="P256" s="3"/>
      <c r="Q256" s="3"/>
      <c r="R256" s="3"/>
    </row>
    <row r="257" spans="1:18" x14ac:dyDescent="0.25">
      <c r="A257" s="3" t="s">
        <v>122</v>
      </c>
      <c r="B257" s="3"/>
      <c r="C257" s="3" t="s">
        <v>538</v>
      </c>
      <c r="D257" s="4">
        <v>46056</v>
      </c>
      <c r="E257" s="3" t="s">
        <v>340</v>
      </c>
      <c r="F257" s="3"/>
      <c r="G257" s="3" t="s">
        <v>543</v>
      </c>
      <c r="H257" s="21">
        <v>100</v>
      </c>
      <c r="I257" s="5"/>
      <c r="J257" s="5"/>
      <c r="K257" s="3"/>
      <c r="L257" s="3" t="s">
        <v>14</v>
      </c>
      <c r="M257" s="3" t="s">
        <v>128</v>
      </c>
      <c r="N257" s="3" t="str">
        <f t="shared" si="4"/>
        <v>PT Cauchos TBR ANV9030 315/80R22.5 20PR XTR189   AN00241</v>
      </c>
      <c r="O257" s="3"/>
      <c r="P257" s="3"/>
      <c r="Q257" s="3"/>
      <c r="R257" s="3"/>
    </row>
    <row r="258" spans="1:18" x14ac:dyDescent="0.25">
      <c r="A258" s="3" t="s">
        <v>122</v>
      </c>
      <c r="B258" s="3"/>
      <c r="C258" s="3" t="s">
        <v>538</v>
      </c>
      <c r="D258" s="4">
        <v>46056</v>
      </c>
      <c r="E258" s="3" t="s">
        <v>227</v>
      </c>
      <c r="F258" s="3"/>
      <c r="G258" s="3" t="s">
        <v>544</v>
      </c>
      <c r="H258" s="21">
        <v>98</v>
      </c>
      <c r="I258" s="5"/>
      <c r="J258" s="5"/>
      <c r="K258" s="3"/>
      <c r="L258" s="3" t="s">
        <v>14</v>
      </c>
      <c r="M258" s="3" t="s">
        <v>128</v>
      </c>
      <c r="N258" s="3" t="str">
        <f t="shared" si="4"/>
        <v>PT Cauchos TBR ANV9014 315/80R22.5 20PR SR168      AN00241</v>
      </c>
      <c r="O258" s="3"/>
      <c r="P258" s="3"/>
      <c r="Q258" s="3"/>
      <c r="R258" s="3"/>
    </row>
    <row r="259" spans="1:18" x14ac:dyDescent="0.25">
      <c r="A259" s="3" t="s">
        <v>122</v>
      </c>
      <c r="B259" s="3"/>
      <c r="C259" s="3" t="s">
        <v>538</v>
      </c>
      <c r="D259" s="4">
        <v>46056</v>
      </c>
      <c r="E259" s="3" t="s">
        <v>344</v>
      </c>
      <c r="F259" s="3"/>
      <c r="G259" s="3" t="s">
        <v>545</v>
      </c>
      <c r="H259" s="21">
        <v>60</v>
      </c>
      <c r="I259" s="5"/>
      <c r="J259" s="5"/>
      <c r="K259" s="3"/>
      <c r="L259" s="3" t="s">
        <v>14</v>
      </c>
      <c r="M259" s="3" t="s">
        <v>128</v>
      </c>
      <c r="N259" s="3" t="str">
        <f t="shared" si="4"/>
        <v>PT Cauchos TBR ANV9023 12.00R24 20PR SR168 TT  AN00241</v>
      </c>
      <c r="O259" s="3"/>
      <c r="P259" s="3"/>
      <c r="Q259" s="3"/>
      <c r="R259" s="3"/>
    </row>
    <row r="260" spans="1:18" x14ac:dyDescent="0.25">
      <c r="A260" s="3" t="s">
        <v>13</v>
      </c>
      <c r="B260" s="3"/>
      <c r="C260" s="3" t="s">
        <v>539</v>
      </c>
      <c r="D260" s="4">
        <v>46056</v>
      </c>
      <c r="E260" s="3" t="s">
        <v>356</v>
      </c>
      <c r="F260" s="3"/>
      <c r="G260" s="3" t="s">
        <v>357</v>
      </c>
      <c r="H260" s="21">
        <v>10</v>
      </c>
      <c r="I260" s="5"/>
      <c r="J260" s="5"/>
      <c r="K260" s="3"/>
      <c r="L260" s="3" t="s">
        <v>14</v>
      </c>
      <c r="M260" s="3" t="s">
        <v>38</v>
      </c>
      <c r="N260" s="3" t="str">
        <f t="shared" si="4"/>
        <v>PT Cauchos TTS ANV9253 12.4-24 12PR R1 TT ARMOUR AN00317</v>
      </c>
      <c r="O260" s="3"/>
      <c r="P260" s="3"/>
      <c r="Q260" s="3"/>
      <c r="R260" s="3"/>
    </row>
    <row r="261" spans="1:18" x14ac:dyDescent="0.25">
      <c r="A261" s="3" t="s">
        <v>13</v>
      </c>
      <c r="B261" s="3"/>
      <c r="C261" s="3" t="s">
        <v>539</v>
      </c>
      <c r="D261" s="4">
        <v>46056</v>
      </c>
      <c r="E261" s="3" t="s">
        <v>358</v>
      </c>
      <c r="F261" s="3"/>
      <c r="G261" s="3" t="s">
        <v>359</v>
      </c>
      <c r="H261" s="21">
        <v>10</v>
      </c>
      <c r="I261" s="5"/>
      <c r="J261" s="5"/>
      <c r="K261" s="3"/>
      <c r="L261" s="3" t="s">
        <v>14</v>
      </c>
      <c r="M261" s="3" t="s">
        <v>38</v>
      </c>
      <c r="N261" s="3" t="str">
        <f t="shared" si="4"/>
        <v>PT Cauchos TTS ANV9254 12.4-24 8PR R2 TT ARMOUR AN00317</v>
      </c>
      <c r="O261" s="3"/>
      <c r="P261" s="3"/>
      <c r="Q261" s="3"/>
      <c r="R261" s="3"/>
    </row>
    <row r="262" spans="1:18" x14ac:dyDescent="0.25">
      <c r="A262" s="3" t="s">
        <v>13</v>
      </c>
      <c r="B262" s="3"/>
      <c r="C262" s="3" t="s">
        <v>539</v>
      </c>
      <c r="D262" s="4">
        <v>46056</v>
      </c>
      <c r="E262" s="3" t="s">
        <v>362</v>
      </c>
      <c r="F262" s="3"/>
      <c r="G262" s="3" t="s">
        <v>363</v>
      </c>
      <c r="H262" s="21">
        <v>40</v>
      </c>
      <c r="I262" s="5"/>
      <c r="J262" s="5"/>
      <c r="K262" s="3"/>
      <c r="L262" s="3" t="s">
        <v>14</v>
      </c>
      <c r="M262" s="3" t="s">
        <v>38</v>
      </c>
      <c r="N262" s="3" t="str">
        <f t="shared" si="4"/>
        <v>PT Cauchos TTS ANV9256 14.9-24 12PR R2 TT ARMOUR AN00317</v>
      </c>
      <c r="O262" s="3"/>
      <c r="P262" s="3"/>
      <c r="Q262" s="3"/>
      <c r="R262" s="3"/>
    </row>
    <row r="263" spans="1:18" x14ac:dyDescent="0.25">
      <c r="A263" s="3" t="s">
        <v>13</v>
      </c>
      <c r="B263" s="3"/>
      <c r="C263" s="3" t="s">
        <v>539</v>
      </c>
      <c r="D263" s="4">
        <v>46056</v>
      </c>
      <c r="E263" s="3" t="s">
        <v>367</v>
      </c>
      <c r="F263" s="3"/>
      <c r="G263" s="3" t="s">
        <v>368</v>
      </c>
      <c r="H263" s="21">
        <v>6</v>
      </c>
      <c r="I263" s="5"/>
      <c r="J263" s="5"/>
      <c r="K263" s="3"/>
      <c r="L263" s="3" t="s">
        <v>14</v>
      </c>
      <c r="M263" s="3" t="s">
        <v>38</v>
      </c>
      <c r="N263" s="3" t="str">
        <f t="shared" si="4"/>
        <v>PT Cauchos TTS ANV9258 23.1-26 18PR R2 TT ARMOUR AN00317</v>
      </c>
      <c r="O263" s="3"/>
      <c r="P263" s="3"/>
      <c r="Q263" s="3"/>
      <c r="R263" s="3"/>
    </row>
    <row r="264" spans="1:18" x14ac:dyDescent="0.25">
      <c r="A264" s="3" t="s">
        <v>13</v>
      </c>
      <c r="B264" s="3"/>
      <c r="C264" s="3" t="s">
        <v>539</v>
      </c>
      <c r="D264" s="4">
        <v>46056</v>
      </c>
      <c r="E264" s="3" t="s">
        <v>487</v>
      </c>
      <c r="F264" s="3"/>
      <c r="G264" s="3" t="s">
        <v>488</v>
      </c>
      <c r="H264" s="21">
        <v>6</v>
      </c>
      <c r="I264" s="5"/>
      <c r="J264" s="5"/>
      <c r="K264" s="3"/>
      <c r="L264" s="3" t="s">
        <v>14</v>
      </c>
      <c r="M264" s="3" t="s">
        <v>38</v>
      </c>
      <c r="N264" s="3" t="str">
        <f t="shared" si="4"/>
        <v>PT Cauchos TTS ANV9275 14.9-28-12 R1 ARMOUR AN00317</v>
      </c>
      <c r="O264" s="3"/>
      <c r="P264" s="3"/>
      <c r="Q264" s="3"/>
      <c r="R264" s="3"/>
    </row>
    <row r="265" spans="1:18" x14ac:dyDescent="0.25">
      <c r="A265" s="3" t="s">
        <v>13</v>
      </c>
      <c r="B265" s="3"/>
      <c r="C265" s="3" t="s">
        <v>539</v>
      </c>
      <c r="D265" s="4">
        <v>46056</v>
      </c>
      <c r="E265" s="3" t="s">
        <v>371</v>
      </c>
      <c r="F265" s="3"/>
      <c r="G265" s="3" t="s">
        <v>372</v>
      </c>
      <c r="H265" s="21">
        <v>4</v>
      </c>
      <c r="I265" s="5"/>
      <c r="J265" s="5"/>
      <c r="K265" s="3"/>
      <c r="L265" s="3" t="s">
        <v>14</v>
      </c>
      <c r="M265" s="3" t="s">
        <v>38</v>
      </c>
      <c r="N265" s="3" t="str">
        <f t="shared" si="4"/>
        <v>PT Cauchos TTS ANV9261 18.4-34 10PR R2 TT ARMOUR AN00317</v>
      </c>
      <c r="O265" s="3"/>
      <c r="P265" s="3"/>
      <c r="Q265" s="3"/>
      <c r="R265" s="3"/>
    </row>
    <row r="266" spans="1:18" x14ac:dyDescent="0.25">
      <c r="A266" s="3" t="s">
        <v>13</v>
      </c>
      <c r="B266" s="3"/>
      <c r="C266" s="3" t="s">
        <v>539</v>
      </c>
      <c r="D266" s="4">
        <v>46056</v>
      </c>
      <c r="E266" s="3" t="s">
        <v>373</v>
      </c>
      <c r="F266" s="3"/>
      <c r="G266" s="3" t="s">
        <v>375</v>
      </c>
      <c r="H266" s="21">
        <v>6</v>
      </c>
      <c r="I266" s="5"/>
      <c r="J266" s="5"/>
      <c r="K266" s="3"/>
      <c r="L266" s="3" t="s">
        <v>14</v>
      </c>
      <c r="M266" s="3" t="s">
        <v>38</v>
      </c>
      <c r="N266" s="3" t="str">
        <f t="shared" si="4"/>
        <v>PT Cauchos TTS ANV9262 18.4-38 12PR R2 TT ARMOUR AN00317</v>
      </c>
      <c r="O266" s="3"/>
      <c r="P266" s="3"/>
      <c r="Q266" s="3"/>
      <c r="R266" s="3"/>
    </row>
    <row r="267" spans="1:18" x14ac:dyDescent="0.25">
      <c r="A267" s="3" t="s">
        <v>13</v>
      </c>
      <c r="B267" s="3"/>
      <c r="C267" s="3" t="s">
        <v>539</v>
      </c>
      <c r="D267" s="4">
        <v>46056</v>
      </c>
      <c r="E267" s="3" t="s">
        <v>412</v>
      </c>
      <c r="F267" s="3"/>
      <c r="G267" s="3" t="s">
        <v>546</v>
      </c>
      <c r="H267" s="21">
        <v>6</v>
      </c>
      <c r="I267" s="5"/>
      <c r="J267" s="5"/>
      <c r="K267" s="3"/>
      <c r="L267" s="3" t="s">
        <v>14</v>
      </c>
      <c r="M267" s="3" t="s">
        <v>18</v>
      </c>
      <c r="N267" s="3" t="str">
        <f t="shared" si="4"/>
        <v>PT Cauchos IDS ANV9230 3.00-15-20PR TT PLT328 ARMOUR AN00317</v>
      </c>
      <c r="O267" s="3"/>
      <c r="P267" s="3"/>
      <c r="Q267" s="3"/>
      <c r="R267" s="3"/>
    </row>
    <row r="268" spans="1:18" x14ac:dyDescent="0.25">
      <c r="A268" s="3" t="s">
        <v>13</v>
      </c>
      <c r="B268" s="3"/>
      <c r="C268" s="3" t="s">
        <v>539</v>
      </c>
      <c r="D268" s="4">
        <v>46056</v>
      </c>
      <c r="E268" s="3" t="s">
        <v>399</v>
      </c>
      <c r="F268" s="3"/>
      <c r="G268" s="3" t="s">
        <v>547</v>
      </c>
      <c r="H268" s="21">
        <v>6</v>
      </c>
      <c r="I268" s="5"/>
      <c r="J268" s="5"/>
      <c r="K268" s="3"/>
      <c r="L268" s="3" t="s">
        <v>14</v>
      </c>
      <c r="M268" s="3" t="s">
        <v>23</v>
      </c>
      <c r="N268" s="3" t="str">
        <f t="shared" si="4"/>
        <v>PT Cauchos ORS ANV9226 28*9-15 SP900 ARMOUR AN00317</v>
      </c>
      <c r="O268" s="3"/>
      <c r="P268" s="3"/>
      <c r="Q268" s="3"/>
      <c r="R268" s="3"/>
    </row>
    <row r="269" spans="1:18" x14ac:dyDescent="0.25">
      <c r="A269" s="3" t="s">
        <v>13</v>
      </c>
      <c r="B269" s="3"/>
      <c r="C269" s="3" t="s">
        <v>539</v>
      </c>
      <c r="D269" s="4">
        <v>46056</v>
      </c>
      <c r="E269" s="3" t="s">
        <v>409</v>
      </c>
      <c r="F269" s="3"/>
      <c r="G269" s="3" t="s">
        <v>411</v>
      </c>
      <c r="H269" s="21">
        <v>4</v>
      </c>
      <c r="I269" s="5"/>
      <c r="J269" s="5"/>
      <c r="K269" s="3"/>
      <c r="L269" s="3" t="s">
        <v>14</v>
      </c>
      <c r="M269" s="3" t="s">
        <v>37</v>
      </c>
      <c r="N269" s="3" t="str">
        <f t="shared" si="4"/>
        <v>PT Cauchos TDS ANV9201 11L-15 8PR I-1 TT ARMOUR AN00317</v>
      </c>
      <c r="O269" s="3"/>
      <c r="P269" s="3"/>
      <c r="Q269" s="3"/>
      <c r="R269" s="3"/>
    </row>
    <row r="270" spans="1:18" x14ac:dyDescent="0.25">
      <c r="A270" s="3" t="s">
        <v>13</v>
      </c>
      <c r="B270" s="3"/>
      <c r="C270" s="3" t="s">
        <v>539</v>
      </c>
      <c r="D270" s="4">
        <v>46056</v>
      </c>
      <c r="E270" s="3" t="s">
        <v>441</v>
      </c>
      <c r="F270" s="3"/>
      <c r="G270" s="3" t="s">
        <v>443</v>
      </c>
      <c r="H270" s="21">
        <v>4</v>
      </c>
      <c r="I270" s="5"/>
      <c r="J270" s="5"/>
      <c r="K270" s="3"/>
      <c r="L270" s="3" t="s">
        <v>14</v>
      </c>
      <c r="M270" s="3" t="s">
        <v>23</v>
      </c>
      <c r="N270" s="3" t="str">
        <f t="shared" si="4"/>
        <v>PT Cauchos ORS ANV9213 14-17.5 14PR RG500 NHS TL ARMOUR AN00317</v>
      </c>
      <c r="O270" s="3"/>
      <c r="P270" s="3"/>
      <c r="Q270" s="3"/>
      <c r="R270" s="3"/>
    </row>
    <row r="271" spans="1:18" x14ac:dyDescent="0.25">
      <c r="A271" s="3" t="s">
        <v>13</v>
      </c>
      <c r="B271" s="3"/>
      <c r="C271" s="3" t="s">
        <v>539</v>
      </c>
      <c r="D271" s="4">
        <v>46056</v>
      </c>
      <c r="E271" s="3" t="s">
        <v>437</v>
      </c>
      <c r="F271" s="3"/>
      <c r="G271" s="3" t="s">
        <v>548</v>
      </c>
      <c r="H271" s="21">
        <v>4</v>
      </c>
      <c r="I271" s="5"/>
      <c r="J271" s="5"/>
      <c r="K271" s="3"/>
      <c r="L271" s="3" t="s">
        <v>14</v>
      </c>
      <c r="M271" s="3" t="s">
        <v>23</v>
      </c>
      <c r="N271" s="3" t="str">
        <f t="shared" si="4"/>
        <v>PT Cauchos ORS ANV9247 14.00-24 24PR NE3 TL ARMOUR AN00317</v>
      </c>
      <c r="O271" s="3"/>
      <c r="P271" s="3"/>
      <c r="Q271" s="3"/>
      <c r="R271" s="3"/>
    </row>
    <row r="272" spans="1:18" x14ac:dyDescent="0.25">
      <c r="A272" s="3" t="s">
        <v>13</v>
      </c>
      <c r="B272" s="3"/>
      <c r="C272" s="3" t="s">
        <v>539</v>
      </c>
      <c r="D272" s="4">
        <v>46056</v>
      </c>
      <c r="E272" s="3" t="s">
        <v>421</v>
      </c>
      <c r="F272" s="3"/>
      <c r="G272" s="3" t="s">
        <v>423</v>
      </c>
      <c r="H272" s="21">
        <v>4</v>
      </c>
      <c r="I272" s="5"/>
      <c r="J272" s="5"/>
      <c r="K272" s="3"/>
      <c r="L272" s="3" t="s">
        <v>14</v>
      </c>
      <c r="M272" s="3" t="s">
        <v>23</v>
      </c>
      <c r="N272" s="3" t="str">
        <f t="shared" si="4"/>
        <v>PT Cauchos ORS ANV9216 14.00-24 16PR L-2/G-2 TL ARMOUR AN00317</v>
      </c>
      <c r="O272" s="3"/>
      <c r="P272" s="3"/>
      <c r="Q272" s="3"/>
      <c r="R272" s="3"/>
    </row>
    <row r="273" spans="1:18" x14ac:dyDescent="0.25">
      <c r="A273" s="3" t="s">
        <v>13</v>
      </c>
      <c r="B273" s="3"/>
      <c r="C273" s="3" t="s">
        <v>539</v>
      </c>
      <c r="D273" s="4">
        <v>46056</v>
      </c>
      <c r="E273" s="3" t="s">
        <v>444</v>
      </c>
      <c r="F273" s="3"/>
      <c r="G273" s="3" t="s">
        <v>445</v>
      </c>
      <c r="H273" s="21">
        <v>4</v>
      </c>
      <c r="I273" s="5"/>
      <c r="J273" s="5"/>
      <c r="K273" s="3"/>
      <c r="L273" s="3" t="s">
        <v>14</v>
      </c>
      <c r="M273" s="3" t="s">
        <v>18</v>
      </c>
      <c r="N273" s="3" t="str">
        <f t="shared" si="4"/>
        <v>PT Cauchos IDS ANV9204 19.5L-24 16PR L-5B TL ARMOUR AN00317</v>
      </c>
      <c r="O273" s="3"/>
      <c r="P273" s="3"/>
      <c r="Q273" s="3"/>
      <c r="R273" s="3"/>
    </row>
    <row r="274" spans="1:18" x14ac:dyDescent="0.25">
      <c r="A274" s="3" t="s">
        <v>13</v>
      </c>
      <c r="B274" s="3"/>
      <c r="C274" s="3" t="s">
        <v>539</v>
      </c>
      <c r="D274" s="4">
        <v>46056</v>
      </c>
      <c r="E274" s="3" t="s">
        <v>415</v>
      </c>
      <c r="F274" s="3"/>
      <c r="G274" s="3" t="s">
        <v>417</v>
      </c>
      <c r="H274" s="21">
        <v>4</v>
      </c>
      <c r="I274" s="5"/>
      <c r="J274" s="5"/>
      <c r="K274" s="3"/>
      <c r="L274" s="3" t="s">
        <v>14</v>
      </c>
      <c r="M274" s="3" t="s">
        <v>23</v>
      </c>
      <c r="N274" s="3" t="str">
        <f t="shared" si="4"/>
        <v>PT Cauchos ORS ANV9245 16.00-25 40PR L5S TL ARMOUR AN00317</v>
      </c>
      <c r="O274" s="3"/>
      <c r="P274" s="3"/>
      <c r="Q274" s="3"/>
      <c r="R274" s="3"/>
    </row>
    <row r="275" spans="1:18" x14ac:dyDescent="0.25">
      <c r="A275" s="6" t="s">
        <v>13</v>
      </c>
      <c r="B275" s="6"/>
      <c r="C275" s="6" t="s">
        <v>539</v>
      </c>
      <c r="D275" s="7">
        <v>46056</v>
      </c>
      <c r="E275" s="6" t="s">
        <v>418</v>
      </c>
      <c r="F275" s="6"/>
      <c r="G275" s="6" t="s">
        <v>420</v>
      </c>
      <c r="H275" s="22">
        <v>4</v>
      </c>
      <c r="I275" s="8"/>
      <c r="J275" s="8"/>
      <c r="K275" s="6"/>
      <c r="L275" s="6" t="s">
        <v>14</v>
      </c>
      <c r="M275" s="6" t="s">
        <v>23</v>
      </c>
      <c r="N275" s="6" t="str">
        <f t="shared" si="4"/>
        <v>PT Cauchos ORS ANV9246 18.00-25 40PR L5S TL ARMOUR AN00317</v>
      </c>
      <c r="O275" s="6"/>
      <c r="P275" s="6"/>
      <c r="Q275" s="6"/>
      <c r="R275" s="3"/>
    </row>
    <row r="276" spans="1:18" x14ac:dyDescent="0.25">
      <c r="A276" s="9" t="s">
        <v>122</v>
      </c>
      <c r="B276" s="9"/>
      <c r="C276" s="9" t="s">
        <v>549</v>
      </c>
      <c r="D276" s="10">
        <v>46057</v>
      </c>
      <c r="E276" s="9" t="s">
        <v>473</v>
      </c>
      <c r="F276" s="9"/>
      <c r="G276" s="9" t="s">
        <v>555</v>
      </c>
      <c r="H276" s="23">
        <v>160</v>
      </c>
      <c r="I276" s="11"/>
      <c r="J276" s="11"/>
      <c r="K276" s="9"/>
      <c r="L276" s="9" t="s">
        <v>475</v>
      </c>
      <c r="M276" s="9" t="s">
        <v>476</v>
      </c>
      <c r="N276" s="9" t="str">
        <f t="shared" si="4"/>
        <v>PT Rines Rines ANV7001 22.5X8.25 Artillero AN00242</v>
      </c>
      <c r="O276" s="9"/>
    </row>
    <row r="277" spans="1:18" x14ac:dyDescent="0.25">
      <c r="A277" s="9" t="s">
        <v>122</v>
      </c>
      <c r="B277" s="9"/>
      <c r="C277" s="9" t="s">
        <v>549</v>
      </c>
      <c r="D277" s="10">
        <v>46057</v>
      </c>
      <c r="E277" s="9" t="s">
        <v>550</v>
      </c>
      <c r="F277" s="9"/>
      <c r="G277" s="9" t="s">
        <v>556</v>
      </c>
      <c r="H277" s="23">
        <v>60</v>
      </c>
      <c r="I277" s="11"/>
      <c r="J277" s="11"/>
      <c r="K277" s="9"/>
      <c r="L277" s="9" t="s">
        <v>475</v>
      </c>
      <c r="M277" s="9" t="s">
        <v>476</v>
      </c>
      <c r="N277" s="9" t="str">
        <f t="shared" si="4"/>
        <v>PT Rines Rines ANV7002 22.5X8.25 Copa Americana AN00242</v>
      </c>
      <c r="O277" s="9"/>
    </row>
    <row r="278" spans="1:18" x14ac:dyDescent="0.25">
      <c r="A278" s="9" t="s">
        <v>122</v>
      </c>
      <c r="B278" s="9"/>
      <c r="C278" s="9" t="s">
        <v>549</v>
      </c>
      <c r="D278" s="10">
        <v>46057</v>
      </c>
      <c r="E278" s="9" t="s">
        <v>551</v>
      </c>
      <c r="F278" s="9"/>
      <c r="G278" s="9" t="s">
        <v>557</v>
      </c>
      <c r="H278" s="23">
        <v>60</v>
      </c>
      <c r="I278" s="11"/>
      <c r="J278" s="11"/>
      <c r="K278" s="9"/>
      <c r="L278" s="9" t="s">
        <v>475</v>
      </c>
      <c r="M278" s="9" t="s">
        <v>476</v>
      </c>
      <c r="N278" s="9" t="str">
        <f t="shared" si="4"/>
        <v>PT Rines Rines ANV7003 22.5X8.25 Copa Europea AN00242</v>
      </c>
      <c r="O278" s="9"/>
    </row>
    <row r="279" spans="1:18" x14ac:dyDescent="0.25">
      <c r="A279" s="9" t="s">
        <v>122</v>
      </c>
      <c r="B279" s="9"/>
      <c r="C279" s="9" t="s">
        <v>549</v>
      </c>
      <c r="D279" s="10">
        <v>46057</v>
      </c>
      <c r="E279" s="9" t="s">
        <v>552</v>
      </c>
      <c r="F279" s="9"/>
      <c r="G279" s="9" t="s">
        <v>558</v>
      </c>
      <c r="H279" s="23">
        <v>160</v>
      </c>
      <c r="I279" s="11"/>
      <c r="J279" s="11"/>
      <c r="K279" s="9"/>
      <c r="L279" s="9" t="s">
        <v>475</v>
      </c>
      <c r="M279" s="9" t="s">
        <v>476</v>
      </c>
      <c r="N279" s="9" t="str">
        <f t="shared" si="4"/>
        <v>PT Rines Rines ANV7004 22.5X9.00 Artillero AN00242</v>
      </c>
      <c r="O279" s="9"/>
    </row>
    <row r="280" spans="1:18" x14ac:dyDescent="0.25">
      <c r="A280" s="9" t="s">
        <v>122</v>
      </c>
      <c r="B280" s="9"/>
      <c r="C280" s="9" t="s">
        <v>549</v>
      </c>
      <c r="D280" s="10">
        <v>46057</v>
      </c>
      <c r="E280" s="9" t="s">
        <v>553</v>
      </c>
      <c r="F280" s="9"/>
      <c r="G280" s="9" t="s">
        <v>559</v>
      </c>
      <c r="H280" s="23">
        <v>60</v>
      </c>
      <c r="I280" s="11"/>
      <c r="J280" s="11"/>
      <c r="K280" s="9"/>
      <c r="L280" s="9" t="s">
        <v>475</v>
      </c>
      <c r="M280" s="9" t="s">
        <v>476</v>
      </c>
      <c r="N280" s="9" t="str">
        <f t="shared" si="4"/>
        <v>PT Rines Rines ANV7005 22.5X9.00 Copa Americana AN00242</v>
      </c>
      <c r="O280" s="9"/>
    </row>
    <row r="281" spans="1:18" x14ac:dyDescent="0.25">
      <c r="A281" s="9" t="s">
        <v>122</v>
      </c>
      <c r="B281" s="9"/>
      <c r="C281" s="9" t="s">
        <v>549</v>
      </c>
      <c r="D281" s="10">
        <v>46057</v>
      </c>
      <c r="E281" s="9" t="s">
        <v>554</v>
      </c>
      <c r="F281" s="9"/>
      <c r="G281" s="9" t="s">
        <v>560</v>
      </c>
      <c r="H281" s="23">
        <v>60</v>
      </c>
      <c r="I281" s="11"/>
      <c r="J281" s="11"/>
      <c r="K281" s="9"/>
      <c r="L281" s="9" t="s">
        <v>475</v>
      </c>
      <c r="M281" s="9" t="s">
        <v>476</v>
      </c>
      <c r="N281" s="9" t="str">
        <f t="shared" si="4"/>
        <v>PT Rines Rines ANV7006 22.5X9.00 Copa Europea AN00242</v>
      </c>
      <c r="O281" s="9"/>
    </row>
    <row r="282" spans="1:18" x14ac:dyDescent="0.25">
      <c r="A282" s="9" t="s">
        <v>122</v>
      </c>
      <c r="B282" s="9"/>
      <c r="C282" s="9" t="s">
        <v>549</v>
      </c>
      <c r="D282" s="10">
        <v>46057</v>
      </c>
      <c r="E282" s="9" t="s">
        <v>477</v>
      </c>
      <c r="F282" s="9"/>
      <c r="G282" s="9" t="s">
        <v>478</v>
      </c>
      <c r="H282" s="23">
        <v>150</v>
      </c>
      <c r="I282" s="11"/>
      <c r="J282" s="11"/>
      <c r="K282" s="9"/>
      <c r="L282" s="9" t="s">
        <v>475</v>
      </c>
      <c r="M282" s="9" t="s">
        <v>476</v>
      </c>
      <c r="N282" s="9" t="str">
        <f t="shared" si="4"/>
        <v>PT Rines Rines ANV7007 17.5X6.75  AN00242</v>
      </c>
      <c r="O282" s="9"/>
    </row>
    <row r="283" spans="1:18" x14ac:dyDescent="0.25">
      <c r="N283" t="s">
        <v>561</v>
      </c>
    </row>
  </sheetData>
  <autoFilter ref="A1:N283" xr:uid="{EB027A39-4AC2-4A45-933C-722E30047B3A}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Daniel, Zerpa Avila</dc:creator>
  <cp:lastModifiedBy>Jose Daniel, Zerpa Avila</cp:lastModifiedBy>
  <dcterms:created xsi:type="dcterms:W3CDTF">2026-02-02T17:56:14Z</dcterms:created>
  <dcterms:modified xsi:type="dcterms:W3CDTF">2026-02-20T13:07:49Z</dcterms:modified>
</cp:coreProperties>
</file>